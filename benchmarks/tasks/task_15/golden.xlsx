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3_ncr:1_{8F359F2A-E13C-4129-BE24-AE7865D2A196}" xr6:coauthVersionLast="47" xr6:coauthVersionMax="47" xr10:uidLastSave="{00000000-0000-0000-0000-000000000000}"/>
  <bookViews>
    <workbookView xWindow="-108" yWindow="-108" windowWidth="23256" windowHeight="13896" tabRatio="757" xr2:uid="{515137FD-E362-4441-B68C-14826082CFA7}"/>
  </bookViews>
  <sheets>
    <sheet name="Control Center" sheetId="17" r:id="rId1"/>
    <sheet name="Forecast Model" sheetId="18" r:id="rId2"/>
    <sheet name="Outputs" sheetId="19" r:id="rId3"/>
    <sheet name="Valuation &amp; Breakeven" sheetId="20" r:id="rId4"/>
    <sheet name="Formula Audit" sheetId="21" r:id="rId5"/>
  </sheets>
  <definedNames>
    <definedName name="Scenarios">'Formula Audit'!$C$4:$C$6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<sst xmlns="http://schemas.openxmlformats.org/spreadsheetml/2006/main" count="1060" uniqueCount="306">
  <si>
    <t/>
  </si>
  <si>
    <t>USD</t>
  </si>
  <si>
    <t>FY</t>
  </si>
  <si>
    <t>days</t>
  </si>
  <si>
    <t>%</t>
  </si>
  <si>
    <t>Retained Earnings</t>
  </si>
  <si>
    <t>Shareholders' Equity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</si>
  <si>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</si>
  <si>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</si>
  <si>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</si>
  <si>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</si>
  <si>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</si>
  <si>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</si>
  <si>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</si>
  <si>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</si>
  <si>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</si>
  <si>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</si>
  <si>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</si>
  <si>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</si>
  <si>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</si>
  <si>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x</t>
  </si>
  <si>
    <t>Cumulative Cash Position</t>
  </si>
  <si>
    <t/>
  </si>
  <si>
    <t>Integrated Operating Model &amp; Analysis</t>
  </si>
  <si>
    <t>Contents</t>
  </si>
  <si>
    <t>Performance Dashboard</t>
  </si>
  <si>
    <t>Budget vs. Actual Variance</t>
  </si>
  <si>
    <t>Breakeven Detail</t>
  </si>
  <si>
    <t>enter inputs only in the blue-shaded cells</t>
  </si>
  <si>
    <t>Scenario Planning</t>
  </si>
  <si>
    <t>Revenue by Business Unit</t>
  </si>
  <si>
    <t>Trailing 12-Month Actuals</t>
  </si>
  <si>
    <t>Forward 12-Month Projection</t>
  </si>
  <si>
    <t>Multi-Year Forecast</t>
  </si>
  <si>
    <t>Summary Overview</t>
  </si>
  <si>
    <t>Ratio Detail</t>
  </si>
  <si>
    <t>Valuation Detail</t>
  </si>
  <si>
    <t>This operating model provides a multi-year projection framework for strategic planning.
It includes:
- A scenario-driven approach
- A first-year 3-statement build
- A multi-year forecast
- Budget-versus-actual variance
- Breakeven analysis
- Ratio analysis and valuation
- Chart-based presentation</t>
  </si>
  <si>
    <t>NAVIGATION</t>
  </si>
  <si>
    <t>Overview</t>
  </si>
  <si>
    <t>Business Category</t>
  </si>
  <si>
    <t>Financials</t>
  </si>
  <si>
    <t>Entity Name</t>
  </si>
  <si>
    <t>Jurisdiction</t>
  </si>
  <si>
    <t>United Kingdom</t>
  </si>
  <si>
    <t>Fiscal Year</t>
  </si>
  <si>
    <t>Reporting Periods</t>
  </si>
  <si>
    <t>Reporting Currency</t>
  </si>
  <si>
    <t>Notes:</t>
  </si>
  <si>
    <t>figures</t>
  </si>
  <si>
    <t>Planning Case</t>
  </si>
  <si>
    <t>Central Case</t>
  </si>
  <si>
    <t>Key Assumptions</t>
  </si>
  <si>
    <t>Selected Case</t>
  </si>
  <si>
    <t>Statement of Operations</t>
  </si>
  <si>
    <t>Revenue Growth Rate</t>
  </si>
  <si>
    <t>% Chg</t>
  </si>
  <si>
    <t>Service Costs</t>
  </si>
  <si>
    <t>share of service revenue</t>
  </si>
  <si>
    <t>Product Costs</t>
  </si>
  <si>
    <t>share of product revenue</t>
  </si>
  <si>
    <t>Direct Labour Costs</t>
  </si>
  <si>
    <t>share of total revenue</t>
  </si>
  <si>
    <t>Discounts &amp; Promotions</t>
  </si>
  <si>
    <t>Salaries &amp; Benefits</t>
  </si>
  <si>
    <t>Sales &amp; Marketing</t>
  </si>
  <si>
    <t>General &amp; Administrative</t>
  </si>
  <si>
    <t>Card Processing Fees</t>
  </si>
  <si>
    <t>Depreciation &amp; Amortization</t>
  </si>
  <si>
    <t>share of PP&amp;E</t>
  </si>
  <si>
    <t>Effective Tax Rate</t>
  </si>
  <si>
    <t>share of EBT</t>
  </si>
  <si>
    <t>Statement of Financial Position</t>
  </si>
  <si>
    <t>Trade Receivables</t>
  </si>
  <si>
    <t>Inventories</t>
  </si>
  <si>
    <t>Property, Plant &amp; Equipment</t>
  </si>
  <si>
    <t>USD (opening)</t>
  </si>
  <si>
    <t>Trade Payables</t>
  </si>
  <si>
    <t>Accrued &amp; Other Liabilities</t>
  </si>
  <si>
    <t>Capex Outlays</t>
  </si>
  <si>
    <t>Financing Activities</t>
  </si>
  <si>
    <t>Interest Rate (% of Borrowings)</t>
  </si>
  <si>
    <t>Long-Term Borrowings</t>
  </si>
  <si>
    <t>USD (Opening)</t>
  </si>
  <si>
    <t>Equity Funding</t>
  </si>
  <si>
    <t>Borrowings Drawn/(Repaid)</t>
  </si>
  <si>
    <t>Equity Raised/(Returned)</t>
  </si>
  <si>
    <t>Dividend Distributions</t>
  </si>
  <si>
    <t>share of net income</t>
  </si>
  <si>
    <t>Central Scenario</t>
  </si>
  <si>
    <t>Upside Scenario</t>
  </si>
  <si>
    <t>Downside Scenario</t>
  </si>
  <si>
    <t>Revenue (Net)</t>
  </si>
  <si>
    <t>Seasonality Factor</t>
  </si>
  <si>
    <t>Line Category</t>
  </si>
  <si>
    <t>Unit Volume</t>
  </si>
  <si>
    <t>Unit Selling Price</t>
  </si>
  <si>
    <t>Sales Revenue</t>
  </si>
  <si>
    <t>Sales — Total</t>
  </si>
  <si>
    <t>Service Line A</t>
  </si>
  <si>
    <t>Service Line B</t>
  </si>
  <si>
    <t>Service Line C</t>
  </si>
  <si>
    <t>Service Line D</t>
  </si>
  <si>
    <t>Service Line E</t>
  </si>
  <si>
    <t>(Include Service)</t>
  </si>
  <si>
    <t>Services — Total</t>
  </si>
  <si>
    <t>Product Line A</t>
  </si>
  <si>
    <t>Product Line B</t>
  </si>
  <si>
    <t>Product Line C</t>
  </si>
  <si>
    <t>Product Line D</t>
  </si>
  <si>
    <t>Product Line E</t>
  </si>
  <si>
    <t>(Include Product)</t>
  </si>
  <si>
    <t>Products — Total</t>
  </si>
  <si>
    <t>Aggregate Total Revenue</t>
  </si>
  <si>
    <t>Cost of Goods Sold</t>
  </si>
  <si>
    <t>share of revenue</t>
  </si>
  <si>
    <t>Costs</t>
  </si>
  <si>
    <t>Total Costs</t>
  </si>
  <si>
    <t>Aggregate Total Cost</t>
  </si>
  <si>
    <t>Service Revenue</t>
  </si>
  <si>
    <t>Product Revenue</t>
  </si>
  <si>
    <t>Total Sales Costs</t>
  </si>
  <si>
    <t>Gross Income</t>
  </si>
  <si>
    <t>Gross Margin Rate</t>
  </si>
  <si>
    <t>Operating Expenses — Total</t>
  </si>
  <si>
    <t>Operating Income (EBIT)</t>
  </si>
  <si>
    <t>Operating Margin Rate</t>
  </si>
  <si>
    <t>Interest Expense</t>
  </si>
  <si>
    <t>Pre-Tax Earnings (EBT)</t>
  </si>
  <si>
    <t>Income Tax Expense</t>
  </si>
  <si>
    <t>Net Earnings</t>
  </si>
  <si>
    <t>Net Margin Rate</t>
  </si>
  <si>
    <t>Short-Term Assets</t>
  </si>
  <si>
    <t>Cash &amp; Equivalents</t>
  </si>
  <si>
    <t>Current Assets — Total</t>
  </si>
  <si>
    <t>Long-Term Assets</t>
  </si>
  <si>
    <t>Long-Term Assets — Total</t>
  </si>
  <si>
    <t>Total Asset Base</t>
  </si>
  <si>
    <t>Short-Term Liabilities</t>
  </si>
  <si>
    <t>Trade Payable</t>
  </si>
  <si>
    <t>Current Liabilities — Total</t>
  </si>
  <si>
    <t>Long-Term Liabilities</t>
  </si>
  <si>
    <t>Long-Term Liabilities — Total</t>
  </si>
  <si>
    <t>Liabilities — Total</t>
  </si>
  <si>
    <t>Shareholder Equity — Total</t>
  </si>
  <si>
    <t>Total Liabilities &amp; Shareholder Equity</t>
  </si>
  <si>
    <t>Reconciliation</t>
  </si>
  <si>
    <t>Statement of Cash Flows</t>
  </si>
  <si>
    <t>Cash Flow from Operations</t>
  </si>
  <si>
    <t>(+) Depreciation &amp; Amortization</t>
  </si>
  <si>
    <t>(-) Working Capital Movement</t>
  </si>
  <si>
    <t>Operating Cash Flows</t>
  </si>
  <si>
    <t>Cash Flow from Investing</t>
  </si>
  <si>
    <t>Purchases of property, plant &amp; equipment</t>
  </si>
  <si>
    <t>Investing Cash Flows</t>
  </si>
  <si>
    <t>Cash Flow from Financing</t>
  </si>
  <si>
    <t>Long-Term Borrowings Proceeds (Repayments) and Other</t>
  </si>
  <si>
    <t>Equity Proceeds (Repayments)</t>
  </si>
  <si>
    <t>Financing Cash Flows</t>
  </si>
  <si>
    <t>Net Change in Cash</t>
  </si>
  <si>
    <t>Beginning Cash Balance</t>
  </si>
  <si>
    <t>Ending Cash Balance</t>
  </si>
  <si>
    <t>Period Days</t>
  </si>
  <si>
    <t>Financial Reports</t>
  </si>
  <si>
    <t>Operating Expense Rate</t>
  </si>
  <si>
    <t>Headline Financials</t>
  </si>
  <si>
    <t>Gross Income Margin</t>
  </si>
  <si>
    <t>EBITDA (Operating)</t>
  </si>
  <si>
    <t>Net Profit Margin Rate</t>
  </si>
  <si>
    <t>Running Cash Flow</t>
  </si>
  <si>
    <t>Free Cash Flows</t>
  </si>
  <si>
    <t>EV / Revenue</t>
  </si>
  <si>
    <t>EV / EBITDA</t>
  </si>
  <si>
    <t>Return on Shareholder Equity (ROE)</t>
  </si>
  <si>
    <t>Return on Capital (ROCE)</t>
  </si>
  <si>
    <t>Fiscal Year (Yr)</t>
  </si>
  <si>
    <t>Revenue — Total</t>
  </si>
  <si>
    <t>Total Operating Costs</t>
  </si>
  <si>
    <t>vs. Preceding Year</t>
  </si>
  <si>
    <t>Net Profit for Period</t>
  </si>
  <si>
    <t>Working Capital Ratio</t>
  </si>
  <si>
    <t>Acid-Test Ratio</t>
  </si>
  <si>
    <t>Year-to-Date</t>
  </si>
  <si>
    <t>This Month</t>
  </si>
  <si>
    <t>Actuals</t>
  </si>
  <si>
    <t>Plan</t>
  </si>
  <si>
    <t>Δ P&amp;L</t>
  </si>
  <si>
    <t>Δ P&amp;L (%)</t>
  </si>
  <si>
    <t>Sales Costs</t>
  </si>
  <si>
    <t>Cost of Goods</t>
  </si>
  <si>
    <t>Operating Expenditure</t>
  </si>
  <si>
    <t>Interest &amp; Tax</t>
  </si>
  <si>
    <t>Margin Ratios</t>
  </si>
  <si>
    <t>Return on Total Assets (ROA)</t>
  </si>
  <si>
    <t>Operating Income Margin</t>
  </si>
  <si>
    <t>EBITDA Margin Rate</t>
  </si>
  <si>
    <t>Short-Term Solvency Ratios</t>
  </si>
  <si>
    <t>Operating Cash Ratio</t>
  </si>
  <si>
    <t>Activity Ratios</t>
  </si>
  <si>
    <t>Receivable Days (DSO)</t>
  </si>
  <si>
    <t>Payable Days (DPO)</t>
  </si>
  <si>
    <t>Inventory Days (DIO)</t>
  </si>
  <si>
    <t>Cash-to-Cash Cycle</t>
  </si>
  <si>
    <t>Solvency Ratios</t>
  </si>
  <si>
    <t>Gearing Ratio</t>
  </si>
  <si>
    <t>Equity Ratio</t>
  </si>
  <si>
    <t>Borrowings-to-Assets Ratio</t>
  </si>
  <si>
    <t>DCF Valuation</t>
  </si>
  <si>
    <t>Pre-Tax Income (EBT)</t>
  </si>
  <si>
    <t>EBIT (Operating Income)</t>
  </si>
  <si>
    <t>Less: Cash Tax</t>
  </si>
  <si>
    <t>Plus: Depreciation &amp; Amortization</t>
  </si>
  <si>
    <t>Less: Capital Expenditure</t>
  </si>
  <si>
    <t>Less: Working Capital Movement</t>
  </si>
  <si>
    <t>Firm Free Cash Flow (FCFF)</t>
  </si>
  <si>
    <t>Terminal Worth (EBITDA Multiple Approach)</t>
  </si>
  <si>
    <t>Net Free Cash Flow</t>
  </si>
  <si>
    <t>PV of Terminal Worth</t>
  </si>
  <si>
    <t>PV of Net Free Cash Flow</t>
  </si>
  <si>
    <t>WACC Build-Up</t>
  </si>
  <si>
    <t>Valuation Inputs</t>
  </si>
  <si>
    <t>Equity Worth Sensitivity</t>
  </si>
  <si>
    <t>EV / EBITDA Multiple</t>
  </si>
  <si>
    <t>Cost of Capital, Weighted Avg. (WACC)</t>
  </si>
  <si>
    <t>Borrowings to Total Capital</t>
  </si>
  <si>
    <t>Prevailing Price</t>
  </si>
  <si>
    <t>Equity Share of Capital</t>
  </si>
  <si>
    <t>Outstanding Shares</t>
  </si>
  <si>
    <t>Borrowings / Equity</t>
  </si>
  <si>
    <t>Fundamental Value</t>
  </si>
  <si>
    <t>Pre-Tax Debt Cost</t>
  </si>
  <si>
    <t>Sum of PV of Free Cash Flows</t>
  </si>
  <si>
    <t>Plus: PV of Terminal Worth</t>
  </si>
  <si>
    <t>Post-Tax Debt Cost</t>
  </si>
  <si>
    <t>Less: Net Borrowings</t>
  </si>
  <si>
    <t>Equity Worth</t>
  </si>
  <si>
    <t>Risk-Free Rate</t>
  </si>
  <si>
    <t>Market Risk Premium</t>
  </si>
  <si>
    <t>Market Worth</t>
  </si>
  <si>
    <t>Equity Beta</t>
  </si>
  <si>
    <t>Market Capitalization</t>
  </si>
  <si>
    <t>Equity Cost</t>
  </si>
  <si>
    <t>Plus: Borrowings</t>
  </si>
  <si>
    <t>Less: Cash Balance</t>
  </si>
  <si>
    <t>WACC (Discounting Rate)</t>
  </si>
  <si>
    <t>Enterprise Value</t>
  </si>
  <si>
    <t>Capital Structure (Initial Outlay)</t>
  </si>
  <si>
    <t>Return Rate</t>
  </si>
  <si>
    <t>Borrowings</t>
  </si>
  <si>
    <t>Prevailing Share Price</t>
  </si>
  <si>
    <t>Shareholder Equity</t>
  </si>
  <si>
    <t>Upside Potential</t>
  </si>
  <si>
    <t>Total Amount</t>
  </si>
  <si>
    <t>Implied Share Price</t>
  </si>
  <si>
    <t>Target Price Upside Rate</t>
  </si>
  <si>
    <t>Internal Rate of Return</t>
  </si>
  <si>
    <t>Contribution</t>
  </si>
  <si>
    <t>Contribution Margin Rate</t>
  </si>
  <si>
    <t>Variable Cost Base</t>
  </si>
  <si>
    <t>Fixed Cost Base</t>
  </si>
  <si>
    <t>Annual Break-Even</t>
  </si>
  <si>
    <t>Monthly Break-Even</t>
  </si>
  <si>
    <t>Units Sold</t>
  </si>
  <si>
    <t>Selling Price</t>
  </si>
  <si>
    <t>Contribution Profit Margin</t>
  </si>
  <si>
    <t>Breakeven Volume (Units)</t>
  </si>
  <si>
    <t>WACC Rate</t>
  </si>
  <si>
    <t>Planning Cases</t>
  </si>
  <si>
    <t>Upside Case</t>
  </si>
  <si>
    <t>Downside Case</t>
  </si>
  <si>
    <t>Headline Financial</t>
  </si>
  <si>
    <t>Fiscal Years</t>
  </si>
  <si>
    <t>Valuation Analysis</t>
  </si>
  <si>
    <t>Terminal Worth</t>
  </si>
  <si>
    <t>Reporting Period</t>
  </si>
  <si>
    <t>delta</t>
  </si>
  <si>
    <t>IRR-Based Valuation</t>
  </si>
  <si>
    <t>Service &amp; Products</t>
  </si>
  <si>
    <t>Depreciation Charge</t>
  </si>
  <si>
    <t>Forecasts</t>
  </si>
  <si>
    <t>Preceding Year (Prior)</t>
  </si>
  <si>
    <t>Projection Year</t>
  </si>
  <si>
    <t>Budget Variance</t>
  </si>
  <si>
    <t>Present Month</t>
  </si>
  <si>
    <t>Central</t>
  </si>
  <si>
    <t>Favorable Result</t>
  </si>
  <si>
    <t>Unfavorable</t>
  </si>
  <si>
    <t>Outcome</t>
  </si>
  <si>
    <t>Fixed Cost Amount</t>
  </si>
  <si>
    <t>Variable Cost Amount</t>
  </si>
  <si>
    <t>Breakeven Point (USD)</t>
  </si>
  <si>
    <t>Fixed + Variable</t>
  </si>
  <si>
    <t>Ratio Summary</t>
  </si>
  <si>
    <t>Amount</t>
  </si>
  <si>
    <t>Soft</t>
  </si>
  <si>
    <t>Favorable</t>
  </si>
  <si>
    <t>Robust</t>
  </si>
  <si>
    <t>Preceding Year</t>
  </si>
  <si>
    <t>Operating Costs</t>
  </si>
  <si>
    <t>Return on Shareholder Equity</t>
  </si>
  <si>
    <t>Return on Total Assets</t>
  </si>
  <si>
    <t>Payable Days</t>
  </si>
  <si>
    <t>Inventory Days</t>
  </si>
  <si>
    <t>Total Earnings</t>
  </si>
  <si>
    <t>Total Expenditure</t>
  </si>
  <si>
    <t>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</si>
</sst>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_-;\-* #,##0_-;_-* &quot;-&quot;_-;_-@_-"/>
    <numFmt numFmtId="165" formatCode="_-* #,##0.00_-;\-* #,##0.00_-;_-* &quot;-&quot;_-;_-@_-"/>
    <numFmt numFmtId="166" formatCode="#,##0_);\(#,##0\);;@"/>
    <numFmt numFmtId="167" formatCode="#,##0;\(#,##0\);;@"/>
    <numFmt numFmtId="168" formatCode="#,##0.00;\(#,##0.00\);;@"/>
    <numFmt numFmtId="169" formatCode="0%;\(0%\)"/>
    <numFmt numFmtId="170" formatCode="#;\(#\);;@"/>
    <numFmt numFmtId="171" formatCode="0.0%;\(0.0%\)"/>
    <numFmt numFmtId="172" formatCode="#,##0.0;\(#,##0.0\);;@"/>
    <numFmt numFmtId="173" formatCode="0;\(0\);;@"/>
    <numFmt numFmtId="174" formatCode="#,##0.0%;\(#,##0.0%\);;@"/>
    <numFmt numFmtId="175" formatCode="#,##0.000;\(#,##0.000\);;@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rgb="FF857501"/>
      <name val="Calibri"/>
      <family val="2"/>
    </font>
    <font>
      <sz val="11"/>
      <color theme="4" tint="-0.499984740745262"/>
      <name val="Calibri"/>
      <family val="2"/>
    </font>
    <font>
      <sz val="11"/>
      <color theme="7" tint="-0.499984740745262"/>
      <name val="Calibri"/>
      <family val="2"/>
    </font>
    <font>
      <sz val="11"/>
      <color theme="3" tint="0.249977111117893"/>
      <name val="Calibri"/>
      <family val="2"/>
    </font>
    <font>
      <b/>
      <sz val="11"/>
      <color theme="4" tint="-0.499984740745262"/>
      <name val="Calibri"/>
      <family val="2"/>
    </font>
    <font>
      <b/>
      <sz val="11"/>
      <color rgb="FF857501"/>
      <name val="Calibri"/>
      <family val="2"/>
    </font>
    <font>
      <b/>
      <sz val="11"/>
      <color theme="7" tint="-0.499984740745262"/>
      <name val="Calibri"/>
      <family val="2"/>
    </font>
    <font>
      <b/>
      <sz val="11"/>
      <color rgb="FFFFFFFF"/>
      <name val="Calibri"/>
      <family val="2"/>
    </font>
    <font>
      <b/>
      <u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1"/>
      <color rgb="FF008000"/>
      <name val="Calibri"/>
      <family val="2"/>
    </font>
    <font>
      <sz val="11"/>
      <color theme="3" tint="9.9978637043366805E-2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8000"/>
      <name val="Calibri"/>
      <family val="2"/>
    </font>
    <font>
      <sz val="11"/>
      <color theme="3" tint="0.499984740745262"/>
      <name val="Calibri"/>
      <family val="2"/>
    </font>
    <font>
      <i/>
      <sz val="11"/>
      <color theme="4" tint="-0.499984740745262"/>
      <name val="Calibri"/>
      <family val="2"/>
    </font>
    <font>
      <i/>
      <sz val="11"/>
      <color theme="1"/>
      <name val="Calibri"/>
      <family val="2"/>
    </font>
    <font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i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42">
    <border>
      <left/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/>
      <diagonal/>
    </border>
    <border>
      <left/>
      <right/>
      <top style="medium">
        <color theme="2" tint="-0.749961851863155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/>
      <diagonal/>
    </border>
    <border>
      <left/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/>
      <bottom style="medium">
        <color rgb="FF00CC99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-0.499984740745262"/>
      </right>
      <top style="thin">
        <color indexed="64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indexed="64"/>
      </top>
      <bottom/>
      <diagonal/>
    </border>
    <border>
      <left style="thin">
        <color theme="4" tint="-0.499984740745262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2" tint="-0.749961851863155"/>
      </right>
      <top style="thin">
        <color auto="1"/>
      </top>
      <bottom/>
      <diagonal/>
    </border>
    <border>
      <left/>
      <right style="thin">
        <color theme="2" tint="-0.749961851863155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2" tint="-0.749961851863155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/>
      <top style="medium">
        <color theme="2" tint="-0.749961851863155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3" tint="0.89996032593768116"/>
      </bottom>
      <diagonal/>
    </border>
    <border>
      <left/>
      <right style="thin">
        <color theme="2" tint="-0.749961851863155"/>
      </right>
      <top/>
      <bottom style="thin">
        <color indexed="64"/>
      </bottom>
      <diagonal/>
    </border>
    <border>
      <left/>
      <right style="thin">
        <color theme="2" tint="-0.749961851863155"/>
      </right>
      <top style="thin">
        <color auto="1"/>
      </top>
      <bottom style="thin">
        <color indexed="64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indexed="64"/>
      </top>
      <bottom/>
      <diagonal/>
    </border>
    <border>
      <left style="thin">
        <color theme="2" tint="-0.749961851863155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indexed="64"/>
      </bottom>
      <diagonal/>
    </border>
    <border>
      <left style="thin">
        <color theme="2" tint="-0.749961851863155"/>
      </left>
      <right/>
      <top/>
      <bottom style="thin">
        <color indexed="64"/>
      </bottom>
      <diagonal/>
    </border>
    <border>
      <left/>
      <right style="thin">
        <color theme="2" tint="-0.749961851863155"/>
      </right>
      <top style="thin">
        <color indexed="64"/>
      </top>
      <bottom style="thin">
        <color indexed="64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indexed="64"/>
      </top>
      <bottom style="thin">
        <color indexed="64"/>
      </bottom>
      <diagonal/>
    </border>
    <border>
      <left style="thin">
        <color theme="2" tint="-0.749961851863155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2" tint="-0.749961851863155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28">
    <xf numFmtId="0" fontId="0" fillId="0" borderId="0" xfId="0"/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5" fillId="4" borderId="0" xfId="0" applyFont="1" applyFill="1"/>
    <xf numFmtId="0" fontId="6" fillId="3" borderId="0" xfId="0" applyFont="1" applyFill="1" applyAlignment="1">
      <alignment vertical="center" wrapText="1"/>
    </xf>
    <xf numFmtId="0" fontId="12" fillId="11" borderId="16" xfId="0" applyFont="1" applyFill="1" applyBorder="1"/>
    <xf numFmtId="0" fontId="13" fillId="11" borderId="16" xfId="3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vertical="center" wrapText="1"/>
    </xf>
    <xf numFmtId="167" fontId="3" fillId="5" borderId="0" xfId="0" applyNumberFormat="1" applyFont="1" applyFill="1"/>
    <xf numFmtId="167" fontId="5" fillId="4" borderId="0" xfId="0" applyNumberFormat="1" applyFont="1" applyFill="1"/>
    <xf numFmtId="167" fontId="6" fillId="4" borderId="0" xfId="0" applyNumberFormat="1" applyFont="1" applyFill="1"/>
    <xf numFmtId="167" fontId="6" fillId="3" borderId="0" xfId="0" applyNumberFormat="1" applyFont="1" applyFill="1"/>
    <xf numFmtId="167" fontId="6" fillId="2" borderId="0" xfId="0" applyNumberFormat="1" applyFont="1" applyFill="1"/>
    <xf numFmtId="167" fontId="6" fillId="3" borderId="0" xfId="0" applyNumberFormat="1" applyFont="1" applyFill="1" applyAlignment="1">
      <alignment horizontal="right"/>
    </xf>
    <xf numFmtId="173" fontId="6" fillId="4" borderId="0" xfId="0" applyNumberFormat="1" applyFont="1" applyFill="1"/>
    <xf numFmtId="173" fontId="3" fillId="5" borderId="0" xfId="0" applyNumberFormat="1" applyFont="1" applyFill="1"/>
    <xf numFmtId="173" fontId="6" fillId="6" borderId="0" xfId="0" applyNumberFormat="1" applyFont="1" applyFill="1"/>
    <xf numFmtId="167" fontId="6" fillId="2" borderId="1" xfId="0" applyNumberFormat="1" applyFont="1" applyFill="1" applyBorder="1"/>
    <xf numFmtId="167" fontId="6" fillId="2" borderId="2" xfId="0" applyNumberFormat="1" applyFont="1" applyFill="1" applyBorder="1"/>
    <xf numFmtId="167" fontId="6" fillId="2" borderId="3" xfId="0" applyNumberFormat="1" applyFont="1" applyFill="1" applyBorder="1"/>
    <xf numFmtId="167" fontId="3" fillId="5" borderId="0" xfId="0" applyNumberFormat="1" applyFont="1" applyFill="1" applyAlignment="1">
      <alignment vertical="center"/>
    </xf>
    <xf numFmtId="167" fontId="6" fillId="2" borderId="0" xfId="0" applyNumberFormat="1" applyFont="1" applyFill="1" applyAlignment="1">
      <alignment horizontal="left"/>
    </xf>
    <xf numFmtId="173" fontId="6" fillId="6" borderId="0" xfId="0" applyNumberFormat="1" applyFont="1" applyFill="1" applyAlignment="1">
      <alignment horizontal="center" vertical="center"/>
    </xf>
    <xf numFmtId="171" fontId="14" fillId="2" borderId="1" xfId="2" applyNumberFormat="1" applyFont="1" applyFill="1" applyBorder="1"/>
    <xf numFmtId="171" fontId="14" fillId="2" borderId="3" xfId="2" applyNumberFormat="1" applyFont="1" applyFill="1" applyBorder="1"/>
    <xf numFmtId="172" fontId="14" fillId="2" borderId="1" xfId="0" applyNumberFormat="1" applyFont="1" applyFill="1" applyBorder="1"/>
    <xf numFmtId="172" fontId="14" fillId="2" borderId="3" xfId="0" applyNumberFormat="1" applyFont="1" applyFill="1" applyBorder="1"/>
    <xf numFmtId="167" fontId="9" fillId="10" borderId="14" xfId="0" applyNumberFormat="1" applyFont="1" applyFill="1" applyBorder="1"/>
    <xf numFmtId="171" fontId="15" fillId="10" borderId="17" xfId="2" applyNumberFormat="1" applyFont="1" applyFill="1" applyBorder="1"/>
    <xf numFmtId="171" fontId="15" fillId="10" borderId="19" xfId="2" applyNumberFormat="1" applyFont="1" applyFill="1" applyBorder="1"/>
    <xf numFmtId="172" fontId="15" fillId="10" borderId="17" xfId="0" applyNumberFormat="1" applyFont="1" applyFill="1" applyBorder="1"/>
    <xf numFmtId="172" fontId="15" fillId="10" borderId="19" xfId="0" applyNumberFormat="1" applyFont="1" applyFill="1" applyBorder="1"/>
    <xf numFmtId="167" fontId="12" fillId="11" borderId="16" xfId="0" applyNumberFormat="1" applyFont="1" applyFill="1" applyBorder="1" applyAlignment="1">
      <alignment horizontal="center" vertical="center"/>
    </xf>
    <xf numFmtId="167" fontId="12" fillId="11" borderId="20" xfId="0" applyNumberFormat="1" applyFont="1" applyFill="1" applyBorder="1"/>
    <xf numFmtId="167" fontId="3" fillId="5" borderId="0" xfId="0" applyNumberFormat="1" applyFont="1" applyFill="1" applyAlignment="1">
      <alignment horizontal="right"/>
    </xf>
    <xf numFmtId="173" fontId="5" fillId="4" borderId="0" xfId="0" applyNumberFormat="1" applyFont="1" applyFill="1"/>
    <xf numFmtId="173" fontId="5" fillId="6" borderId="0" xfId="0" applyNumberFormat="1" applyFont="1" applyFill="1"/>
    <xf numFmtId="167" fontId="16" fillId="4" borderId="0" xfId="0" applyNumberFormat="1" applyFont="1" applyFill="1"/>
    <xf numFmtId="167" fontId="16" fillId="2" borderId="0" xfId="0" applyNumberFormat="1" applyFont="1" applyFill="1"/>
    <xf numFmtId="167" fontId="5" fillId="2" borderId="0" xfId="0" applyNumberFormat="1" applyFont="1" applyFill="1"/>
    <xf numFmtId="167" fontId="6" fillId="2" borderId="4" xfId="0" applyNumberFormat="1" applyFont="1" applyFill="1" applyBorder="1"/>
    <xf numFmtId="167" fontId="3" fillId="4" borderId="0" xfId="0" applyNumberFormat="1" applyFont="1" applyFill="1"/>
    <xf numFmtId="167" fontId="6" fillId="0" borderId="5" xfId="0" applyNumberFormat="1" applyFont="1" applyBorder="1"/>
    <xf numFmtId="167" fontId="6" fillId="0" borderId="6" xfId="0" applyNumberFormat="1" applyFont="1" applyBorder="1"/>
    <xf numFmtId="167" fontId="6" fillId="0" borderId="7" xfId="0" applyNumberFormat="1" applyFont="1" applyBorder="1" applyAlignment="1">
      <alignment horizontal="right"/>
    </xf>
    <xf numFmtId="167" fontId="6" fillId="9" borderId="7" xfId="0" applyNumberFormat="1" applyFont="1" applyFill="1" applyBorder="1"/>
    <xf numFmtId="167" fontId="10" fillId="10" borderId="14" xfId="0" applyNumberFormat="1" applyFont="1" applyFill="1" applyBorder="1"/>
    <xf numFmtId="167" fontId="4" fillId="10" borderId="14" xfId="0" applyNumberFormat="1" applyFont="1" applyFill="1" applyBorder="1" applyAlignment="1">
      <alignment horizontal="right"/>
    </xf>
    <xf numFmtId="167" fontId="4" fillId="10" borderId="14" xfId="0" applyNumberFormat="1" applyFont="1" applyFill="1" applyBorder="1"/>
    <xf numFmtId="173" fontId="15" fillId="10" borderId="14" xfId="0" applyNumberFormat="1" applyFont="1" applyFill="1" applyBorder="1" applyAlignment="1">
      <alignment horizontal="center" vertical="center"/>
    </xf>
    <xf numFmtId="167" fontId="10" fillId="10" borderId="21" xfId="0" applyNumberFormat="1" applyFont="1" applyFill="1" applyBorder="1"/>
    <xf numFmtId="167" fontId="9" fillId="10" borderId="21" xfId="0" applyNumberFormat="1" applyFont="1" applyFill="1" applyBorder="1"/>
    <xf numFmtId="167" fontId="9" fillId="10" borderId="21" xfId="0" applyNumberFormat="1" applyFont="1" applyFill="1" applyBorder="1" applyAlignment="1">
      <alignment horizontal="center" vertical="center" textRotation="90"/>
    </xf>
    <xf numFmtId="172" fontId="9" fillId="10" borderId="21" xfId="0" applyNumberFormat="1" applyFont="1" applyFill="1" applyBorder="1" applyAlignment="1">
      <alignment horizontal="center" vertical="center" textRotation="90"/>
    </xf>
    <xf numFmtId="171" fontId="15" fillId="10" borderId="14" xfId="2" applyNumberFormat="1" applyFont="1" applyFill="1" applyBorder="1"/>
    <xf numFmtId="167" fontId="12" fillId="11" borderId="16" xfId="0" applyNumberFormat="1" applyFont="1" applyFill="1" applyBorder="1"/>
    <xf numFmtId="167" fontId="12" fillId="11" borderId="24" xfId="0" applyNumberFormat="1" applyFont="1" applyFill="1" applyBorder="1"/>
    <xf numFmtId="167" fontId="12" fillId="11" borderId="24" xfId="0" applyNumberFormat="1" applyFont="1" applyFill="1" applyBorder="1" applyAlignment="1">
      <alignment horizontal="center" vertical="center"/>
    </xf>
    <xf numFmtId="167" fontId="12" fillId="11" borderId="25" xfId="0" applyNumberFormat="1" applyFont="1" applyFill="1" applyBorder="1"/>
    <xf numFmtId="167" fontId="12" fillId="11" borderId="26" xfId="0" applyNumberFormat="1" applyFont="1" applyFill="1" applyBorder="1"/>
    <xf numFmtId="167" fontId="12" fillId="11" borderId="29" xfId="0" applyNumberFormat="1" applyFont="1" applyFill="1" applyBorder="1"/>
    <xf numFmtId="171" fontId="12" fillId="11" borderId="29" xfId="2" applyNumberFormat="1" applyFont="1" applyFill="1" applyBorder="1"/>
    <xf numFmtId="171" fontId="12" fillId="11" borderId="16" xfId="2" applyNumberFormat="1" applyFont="1" applyFill="1" applyBorder="1"/>
    <xf numFmtId="167" fontId="12" fillId="11" borderId="16" xfId="0" applyNumberFormat="1" applyFont="1" applyFill="1" applyBorder="1" applyAlignment="1">
      <alignment horizontal="center"/>
    </xf>
    <xf numFmtId="167" fontId="18" fillId="4" borderId="0" xfId="0" applyNumberFormat="1" applyFont="1" applyFill="1"/>
    <xf numFmtId="167" fontId="18" fillId="3" borderId="0" xfId="0" applyNumberFormat="1" applyFont="1" applyFill="1"/>
    <xf numFmtId="167" fontId="6" fillId="3" borderId="0" xfId="0" applyNumberFormat="1" applyFont="1" applyFill="1" applyAlignment="1">
      <alignment horizontal="left"/>
    </xf>
    <xf numFmtId="167" fontId="18" fillId="4" borderId="0" xfId="0" applyNumberFormat="1" applyFont="1" applyFill="1" applyAlignment="1">
      <alignment horizontal="center" vertical="center"/>
    </xf>
    <xf numFmtId="167" fontId="18" fillId="8" borderId="0" xfId="0" applyNumberFormat="1" applyFont="1" applyFill="1"/>
    <xf numFmtId="167" fontId="3" fillId="8" borderId="0" xfId="0" applyNumberFormat="1" applyFont="1" applyFill="1"/>
    <xf numFmtId="167" fontId="18" fillId="3" borderId="5" xfId="0" applyNumberFormat="1" applyFont="1" applyFill="1" applyBorder="1"/>
    <xf numFmtId="167" fontId="3" fillId="3" borderId="0" xfId="0" applyNumberFormat="1" applyFont="1" applyFill="1"/>
    <xf numFmtId="167" fontId="17" fillId="10" borderId="14" xfId="0" applyNumberFormat="1" applyFont="1" applyFill="1" applyBorder="1"/>
    <xf numFmtId="171" fontId="15" fillId="10" borderId="14" xfId="2" applyNumberFormat="1" applyFont="1" applyFill="1" applyBorder="1" applyAlignment="1">
      <alignment horizontal="center" vertical="center"/>
    </xf>
    <xf numFmtId="167" fontId="17" fillId="10" borderId="23" xfId="0" applyNumberFormat="1" applyFont="1" applyFill="1" applyBorder="1"/>
    <xf numFmtId="167" fontId="12" fillId="11" borderId="24" xfId="0" applyNumberFormat="1" applyFont="1" applyFill="1" applyBorder="1" applyAlignment="1">
      <alignment horizontal="center"/>
    </xf>
    <xf numFmtId="171" fontId="12" fillId="11" borderId="16" xfId="2" applyNumberFormat="1" applyFont="1" applyFill="1" applyBorder="1" applyAlignment="1">
      <alignment horizontal="center" vertical="center"/>
    </xf>
    <xf numFmtId="167" fontId="12" fillId="11" borderId="31" xfId="0" applyNumberFormat="1" applyFont="1" applyFill="1" applyBorder="1"/>
    <xf numFmtId="173" fontId="12" fillId="11" borderId="16" xfId="0" applyNumberFormat="1" applyFont="1" applyFill="1" applyBorder="1" applyAlignment="1">
      <alignment horizontal="center" vertical="center"/>
    </xf>
    <xf numFmtId="167" fontId="12" fillId="11" borderId="32" xfId="0" applyNumberFormat="1" applyFont="1" applyFill="1" applyBorder="1"/>
    <xf numFmtId="167" fontId="12" fillId="11" borderId="25" xfId="1" applyNumberFormat="1" applyFont="1" applyFill="1" applyBorder="1"/>
    <xf numFmtId="173" fontId="12" fillId="11" borderId="20" xfId="0" applyNumberFormat="1" applyFont="1" applyFill="1" applyBorder="1" applyAlignment="1">
      <alignment horizontal="center" vertical="center"/>
    </xf>
    <xf numFmtId="167" fontId="6" fillId="2" borderId="0" xfId="0" applyNumberFormat="1" applyFont="1" applyFill="1" applyAlignment="1">
      <alignment horizontal="right"/>
    </xf>
    <xf numFmtId="167" fontId="6" fillId="3" borderId="0" xfId="0" applyNumberFormat="1" applyFont="1" applyFill="1" applyAlignment="1">
      <alignment horizontal="center" vertical="center"/>
    </xf>
    <xf numFmtId="167" fontId="7" fillId="7" borderId="0" xfId="0" applyNumberFormat="1" applyFont="1" applyFill="1"/>
    <xf numFmtId="167" fontId="7" fillId="7" borderId="5" xfId="1" applyNumberFormat="1" applyFont="1" applyFill="1" applyBorder="1" applyAlignment="1">
      <alignment horizontal="center" vertical="center"/>
    </xf>
    <xf numFmtId="167" fontId="7" fillId="7" borderId="6" xfId="1" applyNumberFormat="1" applyFont="1" applyFill="1" applyBorder="1" applyAlignment="1">
      <alignment horizontal="center" vertical="center"/>
    </xf>
    <xf numFmtId="167" fontId="6" fillId="2" borderId="6" xfId="1" applyNumberFormat="1" applyFont="1" applyFill="1" applyBorder="1"/>
    <xf numFmtId="167" fontId="6" fillId="2" borderId="7" xfId="1" applyNumberFormat="1" applyFont="1" applyFill="1" applyBorder="1"/>
    <xf numFmtId="167" fontId="6" fillId="2" borderId="5" xfId="0" applyNumberFormat="1" applyFont="1" applyFill="1" applyBorder="1"/>
    <xf numFmtId="167" fontId="6" fillId="2" borderId="6" xfId="0" applyNumberFormat="1" applyFont="1" applyFill="1" applyBorder="1"/>
    <xf numFmtId="167" fontId="6" fillId="2" borderId="7" xfId="0" applyNumberFormat="1" applyFont="1" applyFill="1" applyBorder="1"/>
    <xf numFmtId="167" fontId="6" fillId="6" borderId="0" xfId="0" applyNumberFormat="1" applyFont="1" applyFill="1"/>
    <xf numFmtId="167" fontId="3" fillId="6" borderId="0" xfId="0" applyNumberFormat="1" applyFont="1" applyFill="1" applyAlignment="1">
      <alignment vertical="center"/>
    </xf>
    <xf numFmtId="167" fontId="3" fillId="5" borderId="0" xfId="0" applyNumberFormat="1" applyFont="1" applyFill="1" applyAlignment="1">
      <alignment horizontal="right" vertical="center"/>
    </xf>
    <xf numFmtId="167" fontId="18" fillId="4" borderId="0" xfId="1" applyNumberFormat="1" applyFont="1" applyFill="1"/>
    <xf numFmtId="167" fontId="18" fillId="3" borderId="0" xfId="1" applyNumberFormat="1" applyFont="1" applyFill="1"/>
    <xf numFmtId="167" fontId="6" fillId="2" borderId="0" xfId="1" applyNumberFormat="1" applyFont="1" applyFill="1"/>
    <xf numFmtId="167" fontId="6" fillId="2" borderId="5" xfId="1" applyNumberFormat="1" applyFont="1" applyFill="1" applyBorder="1"/>
    <xf numFmtId="167" fontId="9" fillId="10" borderId="23" xfId="1" applyNumberFormat="1" applyFont="1" applyFill="1" applyBorder="1"/>
    <xf numFmtId="167" fontId="9" fillId="10" borderId="33" xfId="1" applyNumberFormat="1" applyFont="1" applyFill="1" applyBorder="1"/>
    <xf numFmtId="167" fontId="9" fillId="10" borderId="14" xfId="1" applyNumberFormat="1" applyFont="1" applyFill="1" applyBorder="1"/>
    <xf numFmtId="167" fontId="4" fillId="10" borderId="14" xfId="0" applyNumberFormat="1" applyFont="1" applyFill="1" applyBorder="1" applyAlignment="1">
      <alignment vertical="center"/>
    </xf>
    <xf numFmtId="171" fontId="11" fillId="10" borderId="23" xfId="2" applyNumberFormat="1" applyFont="1" applyFill="1" applyBorder="1" applyAlignment="1">
      <alignment horizontal="center" vertical="center"/>
    </xf>
    <xf numFmtId="167" fontId="9" fillId="10" borderId="23" xfId="0" applyNumberFormat="1" applyFont="1" applyFill="1" applyBorder="1"/>
    <xf numFmtId="167" fontId="9" fillId="10" borderId="33" xfId="0" applyNumberFormat="1" applyFont="1" applyFill="1" applyBorder="1"/>
    <xf numFmtId="167" fontId="9" fillId="10" borderId="34" xfId="0" applyNumberFormat="1" applyFont="1" applyFill="1" applyBorder="1"/>
    <xf numFmtId="167" fontId="12" fillId="11" borderId="26" xfId="0" applyNumberFormat="1" applyFont="1" applyFill="1" applyBorder="1" applyAlignment="1">
      <alignment horizontal="center" vertical="center"/>
    </xf>
    <xf numFmtId="167" fontId="12" fillId="11" borderId="16" xfId="0" applyNumberFormat="1" applyFont="1" applyFill="1" applyBorder="1" applyAlignment="1">
      <alignment vertical="center"/>
    </xf>
    <xf numFmtId="173" fontId="18" fillId="3" borderId="0" xfId="0" applyNumberFormat="1" applyFont="1" applyFill="1" applyAlignment="1">
      <alignment horizontal="center" vertical="center"/>
    </xf>
    <xf numFmtId="174" fontId="6" fillId="2" borderId="5" xfId="0" applyNumberFormat="1" applyFont="1" applyFill="1" applyBorder="1"/>
    <xf numFmtId="174" fontId="6" fillId="2" borderId="6" xfId="0" applyNumberFormat="1" applyFont="1" applyFill="1" applyBorder="1"/>
    <xf numFmtId="174" fontId="6" fillId="2" borderId="7" xfId="0" applyNumberFormat="1" applyFont="1" applyFill="1" applyBorder="1"/>
    <xf numFmtId="167" fontId="6" fillId="2" borderId="6" xfId="0" applyNumberFormat="1" applyFont="1" applyFill="1" applyBorder="1" applyAlignment="1">
      <alignment vertical="center" textRotation="90"/>
    </xf>
    <xf numFmtId="167" fontId="18" fillId="6" borderId="0" xfId="0" applyNumberFormat="1" applyFont="1" applyFill="1"/>
    <xf numFmtId="167" fontId="18" fillId="2" borderId="0" xfId="0" applyNumberFormat="1" applyFont="1" applyFill="1"/>
    <xf numFmtId="174" fontId="20" fillId="2" borderId="5" xfId="0" applyNumberFormat="1" applyFont="1" applyFill="1" applyBorder="1" applyAlignment="1">
      <alignment horizontal="center" vertical="center"/>
    </xf>
    <xf numFmtId="174" fontId="7" fillId="7" borderId="6" xfId="0" applyNumberFormat="1" applyFont="1" applyFill="1" applyBorder="1" applyAlignment="1">
      <alignment horizontal="center" vertical="center"/>
    </xf>
    <xf numFmtId="174" fontId="7" fillId="7" borderId="7" xfId="0" applyNumberFormat="1" applyFont="1" applyFill="1" applyBorder="1" applyAlignment="1">
      <alignment horizontal="center" vertical="center"/>
    </xf>
    <xf numFmtId="167" fontId="7" fillId="7" borderId="5" xfId="0" applyNumberFormat="1" applyFont="1" applyFill="1" applyBorder="1" applyAlignment="1">
      <alignment horizontal="center" vertical="center"/>
    </xf>
    <xf numFmtId="167" fontId="7" fillId="7" borderId="6" xfId="0" applyNumberFormat="1" applyFont="1" applyFill="1" applyBorder="1" applyAlignment="1">
      <alignment horizontal="center" vertical="center"/>
    </xf>
    <xf numFmtId="167" fontId="7" fillId="7" borderId="7" xfId="0" applyNumberFormat="1" applyFont="1" applyFill="1" applyBorder="1" applyAlignment="1">
      <alignment horizontal="center" vertical="center"/>
    </xf>
    <xf numFmtId="167" fontId="6" fillId="2" borderId="0" xfId="0" applyNumberFormat="1" applyFont="1" applyFill="1" applyAlignment="1">
      <alignment horizontal="left" vertical="center"/>
    </xf>
    <xf numFmtId="167" fontId="6" fillId="3" borderId="0" xfId="0" applyNumberFormat="1" applyFont="1" applyFill="1" applyAlignment="1">
      <alignment horizontal="left" vertical="center"/>
    </xf>
    <xf numFmtId="167" fontId="6" fillId="2" borderId="0" xfId="0" applyNumberFormat="1" applyFont="1" applyFill="1" applyAlignment="1">
      <alignment horizontal="center" vertical="center"/>
    </xf>
    <xf numFmtId="174" fontId="14" fillId="2" borderId="5" xfId="1" applyNumberFormat="1" applyFont="1" applyFill="1" applyBorder="1"/>
    <xf numFmtId="174" fontId="14" fillId="2" borderId="6" xfId="1" applyNumberFormat="1" applyFont="1" applyFill="1" applyBorder="1"/>
    <xf numFmtId="174" fontId="14" fillId="2" borderId="7" xfId="1" applyNumberFormat="1" applyFont="1" applyFill="1" applyBorder="1"/>
    <xf numFmtId="174" fontId="14" fillId="2" borderId="6" xfId="0" applyNumberFormat="1" applyFont="1" applyFill="1" applyBorder="1"/>
    <xf numFmtId="174" fontId="14" fillId="2" borderId="7" xfId="0" applyNumberFormat="1" applyFont="1" applyFill="1" applyBorder="1"/>
    <xf numFmtId="174" fontId="14" fillId="2" borderId="5" xfId="0" applyNumberFormat="1" applyFont="1" applyFill="1" applyBorder="1"/>
    <xf numFmtId="173" fontId="14" fillId="2" borderId="5" xfId="0" applyNumberFormat="1" applyFont="1" applyFill="1" applyBorder="1"/>
    <xf numFmtId="173" fontId="14" fillId="2" borderId="6" xfId="0" applyNumberFormat="1" applyFont="1" applyFill="1" applyBorder="1"/>
    <xf numFmtId="173" fontId="14" fillId="2" borderId="7" xfId="0" applyNumberFormat="1" applyFont="1" applyFill="1" applyBorder="1"/>
    <xf numFmtId="174" fontId="15" fillId="10" borderId="23" xfId="0" applyNumberFormat="1" applyFont="1" applyFill="1" applyBorder="1"/>
    <xf numFmtId="174" fontId="15" fillId="10" borderId="33" xfId="0" applyNumberFormat="1" applyFont="1" applyFill="1" applyBorder="1"/>
    <xf numFmtId="174" fontId="15" fillId="10" borderId="34" xfId="0" applyNumberFormat="1" applyFont="1" applyFill="1" applyBorder="1"/>
    <xf numFmtId="167" fontId="12" fillId="11" borderId="35" xfId="0" applyNumberFormat="1" applyFont="1" applyFill="1" applyBorder="1"/>
    <xf numFmtId="167" fontId="12" fillId="11" borderId="35" xfId="0" applyNumberFormat="1" applyFont="1" applyFill="1" applyBorder="1" applyAlignment="1">
      <alignment horizontal="right"/>
    </xf>
    <xf numFmtId="167" fontId="12" fillId="11" borderId="35" xfId="0" applyNumberFormat="1" applyFont="1" applyFill="1" applyBorder="1" applyAlignment="1">
      <alignment horizontal="center" vertical="center"/>
    </xf>
    <xf numFmtId="167" fontId="12" fillId="11" borderId="31" xfId="1" applyNumberFormat="1" applyFont="1" applyFill="1" applyBorder="1"/>
    <xf numFmtId="167" fontId="12" fillId="11" borderId="36" xfId="1" applyNumberFormat="1" applyFont="1" applyFill="1" applyBorder="1"/>
    <xf numFmtId="167" fontId="12" fillId="11" borderId="37" xfId="1" applyNumberFormat="1" applyFont="1" applyFill="1" applyBorder="1"/>
    <xf numFmtId="167" fontId="12" fillId="11" borderId="36" xfId="0" applyNumberFormat="1" applyFont="1" applyFill="1" applyBorder="1"/>
    <xf numFmtId="167" fontId="12" fillId="11" borderId="37" xfId="0" applyNumberFormat="1" applyFont="1" applyFill="1" applyBorder="1"/>
    <xf numFmtId="167" fontId="12" fillId="11" borderId="36" xfId="0" applyNumberFormat="1" applyFont="1" applyFill="1" applyBorder="1" applyAlignment="1">
      <alignment vertical="center" textRotation="90"/>
    </xf>
    <xf numFmtId="173" fontId="12" fillId="11" borderId="16" xfId="0" applyNumberFormat="1" applyFont="1" applyFill="1" applyBorder="1"/>
    <xf numFmtId="167" fontId="12" fillId="11" borderId="38" xfId="0" applyNumberFormat="1" applyFont="1" applyFill="1" applyBorder="1"/>
    <xf numFmtId="167" fontId="12" fillId="11" borderId="39" xfId="0" applyNumberFormat="1" applyFont="1" applyFill="1" applyBorder="1"/>
    <xf numFmtId="167" fontId="12" fillId="11" borderId="40" xfId="0" applyNumberFormat="1" applyFont="1" applyFill="1" applyBorder="1"/>
    <xf numFmtId="167" fontId="7" fillId="7" borderId="5" xfId="0" applyNumberFormat="1" applyFont="1" applyFill="1" applyBorder="1"/>
    <xf numFmtId="167" fontId="6" fillId="6" borderId="0" xfId="1" applyNumberFormat="1" applyFont="1" applyFill="1"/>
    <xf numFmtId="167" fontId="6" fillId="3" borderId="0" xfId="1" applyNumberFormat="1" applyFont="1" applyFill="1"/>
    <xf numFmtId="167" fontId="18" fillId="2" borderId="0" xfId="1" applyNumberFormat="1" applyFont="1" applyFill="1"/>
    <xf numFmtId="175" fontId="18" fillId="3" borderId="0" xfId="0" applyNumberFormat="1" applyFont="1" applyFill="1"/>
    <xf numFmtId="167" fontId="7" fillId="7" borderId="6" xfId="0" applyNumberFormat="1" applyFont="1" applyFill="1" applyBorder="1"/>
    <xf numFmtId="171" fontId="18" fillId="4" borderId="0" xfId="2" applyNumberFormat="1" applyFont="1" applyFill="1"/>
    <xf numFmtId="171" fontId="6" fillId="2" borderId="0" xfId="2" applyNumberFormat="1" applyFont="1" applyFill="1"/>
    <xf numFmtId="171" fontId="18" fillId="2" borderId="0" xfId="2" applyNumberFormat="1" applyFont="1" applyFill="1"/>
    <xf numFmtId="167" fontId="21" fillId="3" borderId="0" xfId="0" applyNumberFormat="1" applyFont="1" applyFill="1"/>
    <xf numFmtId="167" fontId="11" fillId="10" borderId="23" xfId="0" applyNumberFormat="1" applyFont="1" applyFill="1" applyBorder="1"/>
    <xf numFmtId="167" fontId="12" fillId="11" borderId="26" xfId="0" applyNumberFormat="1" applyFont="1" applyFill="1" applyBorder="1" applyAlignment="1">
      <alignment horizontal="right"/>
    </xf>
    <xf numFmtId="167" fontId="12" fillId="11" borderId="16" xfId="1" applyNumberFormat="1" applyFont="1" applyFill="1" applyBorder="1"/>
    <xf numFmtId="167" fontId="12" fillId="11" borderId="20" xfId="1" applyNumberFormat="1" applyFont="1" applyFill="1" applyBorder="1"/>
    <xf numFmtId="167" fontId="12" fillId="11" borderId="38" xfId="1" applyNumberFormat="1" applyFont="1" applyFill="1" applyBorder="1"/>
    <xf numFmtId="167" fontId="12" fillId="11" borderId="39" xfId="1" applyNumberFormat="1" applyFont="1" applyFill="1" applyBorder="1"/>
    <xf numFmtId="167" fontId="12" fillId="11" borderId="40" xfId="1" applyNumberFormat="1" applyFont="1" applyFill="1" applyBorder="1"/>
    <xf numFmtId="167" fontId="12" fillId="11" borderId="20" xfId="0" applyNumberFormat="1" applyFont="1" applyFill="1" applyBorder="1" applyAlignment="1">
      <alignment vertical="center"/>
    </xf>
    <xf numFmtId="168" fontId="18" fillId="3" borderId="0" xfId="0" applyNumberFormat="1" applyFont="1" applyFill="1"/>
    <xf numFmtId="167" fontId="6" fillId="2" borderId="6" xfId="1" applyNumberFormat="1" applyFont="1" applyFill="1" applyBorder="1" applyAlignment="1">
      <alignment horizontal="right"/>
    </xf>
    <xf numFmtId="167" fontId="6" fillId="2" borderId="6" xfId="0" applyNumberFormat="1" applyFont="1" applyFill="1" applyBorder="1" applyAlignment="1">
      <alignment horizontal="right"/>
    </xf>
    <xf numFmtId="167" fontId="6" fillId="3" borderId="0" xfId="0" applyNumberFormat="1" applyFont="1" applyFill="1" applyAlignment="1">
      <alignment vertical="center" textRotation="90"/>
    </xf>
    <xf numFmtId="167" fontId="3" fillId="3" borderId="0" xfId="0" applyNumberFormat="1" applyFont="1" applyFill="1" applyAlignment="1">
      <alignment vertical="center"/>
    </xf>
    <xf numFmtId="167" fontId="18" fillId="3" borderId="0" xfId="2" applyNumberFormat="1" applyFont="1" applyFill="1"/>
    <xf numFmtId="171" fontId="9" fillId="10" borderId="33" xfId="2" applyNumberFormat="1" applyFont="1" applyFill="1" applyBorder="1" applyAlignment="1">
      <alignment horizontal="right"/>
    </xf>
    <xf numFmtId="167" fontId="9" fillId="10" borderId="33" xfId="0" applyNumberFormat="1" applyFont="1" applyFill="1" applyBorder="1" applyAlignment="1">
      <alignment horizontal="right"/>
    </xf>
    <xf numFmtId="167" fontId="9" fillId="10" borderId="14" xfId="0" applyNumberFormat="1" applyFont="1" applyFill="1" applyBorder="1" applyAlignment="1">
      <alignment horizontal="right"/>
    </xf>
    <xf numFmtId="167" fontId="12" fillId="11" borderId="16" xfId="0" applyNumberFormat="1" applyFont="1" applyFill="1" applyBorder="1" applyAlignment="1">
      <alignment horizontal="right"/>
    </xf>
    <xf numFmtId="167" fontId="12" fillId="11" borderId="26" xfId="0" applyNumberFormat="1" applyFont="1" applyFill="1" applyBorder="1" applyAlignment="1">
      <alignment vertical="center"/>
    </xf>
    <xf numFmtId="167" fontId="12" fillId="11" borderId="16" xfId="0" applyNumberFormat="1" applyFont="1" applyFill="1" applyBorder="1" applyAlignment="1">
      <alignment horizontal="left" vertical="center"/>
    </xf>
    <xf numFmtId="167" fontId="18" fillId="2" borderId="0" xfId="0" applyNumberFormat="1" applyFont="1" applyFill="1" applyAlignment="1">
      <alignment horizontal="left"/>
    </xf>
    <xf numFmtId="167" fontId="6" fillId="3" borderId="0" xfId="1" applyNumberFormat="1" applyFont="1" applyFill="1" applyBorder="1"/>
    <xf numFmtId="167" fontId="22" fillId="4" borderId="0" xfId="0" applyNumberFormat="1" applyFont="1" applyFill="1"/>
    <xf numFmtId="167" fontId="21" fillId="2" borderId="0" xfId="0" applyNumberFormat="1" applyFont="1" applyFill="1"/>
    <xf numFmtId="167" fontId="6" fillId="5" borderId="0" xfId="0" applyNumberFormat="1" applyFont="1" applyFill="1"/>
    <xf numFmtId="167" fontId="6" fillId="3" borderId="10" xfId="0" applyNumberFormat="1" applyFont="1" applyFill="1" applyBorder="1"/>
    <xf numFmtId="0" fontId="6" fillId="3" borderId="0" xfId="0" applyFont="1" applyFill="1" applyAlignment="1">
      <alignment horizontal="center" vertical="center"/>
    </xf>
    <xf numFmtId="167" fontId="6" fillId="2" borderId="10" xfId="0" applyNumberFormat="1" applyFont="1" applyFill="1" applyBorder="1"/>
    <xf numFmtId="171" fontId="14" fillId="2" borderId="0" xfId="2" applyNumberFormat="1" applyFont="1" applyFill="1"/>
    <xf numFmtId="171" fontId="6" fillId="3" borderId="0" xfId="2" applyNumberFormat="1" applyFont="1" applyFill="1" applyBorder="1"/>
    <xf numFmtId="171" fontId="14" fillId="2" borderId="5" xfId="2" applyNumberFormat="1" applyFont="1" applyFill="1" applyBorder="1"/>
    <xf numFmtId="171" fontId="14" fillId="2" borderId="0" xfId="2" applyNumberFormat="1" applyFont="1" applyFill="1" applyBorder="1"/>
    <xf numFmtId="168" fontId="14" fillId="2" borderId="5" xfId="1" applyNumberFormat="1" applyFont="1" applyFill="1" applyBorder="1"/>
    <xf numFmtId="168" fontId="14" fillId="2" borderId="0" xfId="1" applyNumberFormat="1" applyFont="1" applyFill="1" applyBorder="1"/>
    <xf numFmtId="171" fontId="15" fillId="10" borderId="23" xfId="2" applyNumberFormat="1" applyFont="1" applyFill="1" applyBorder="1"/>
    <xf numFmtId="171" fontId="15" fillId="10" borderId="34" xfId="2" applyNumberFormat="1" applyFont="1" applyFill="1" applyBorder="1"/>
    <xf numFmtId="168" fontId="15" fillId="10" borderId="23" xfId="1" applyNumberFormat="1" applyFont="1" applyFill="1" applyBorder="1"/>
    <xf numFmtId="168" fontId="15" fillId="10" borderId="14" xfId="1" applyNumberFormat="1" applyFont="1" applyFill="1" applyBorder="1"/>
    <xf numFmtId="0" fontId="23" fillId="5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0" fontId="26" fillId="10" borderId="14" xfId="3" applyFont="1" applyFill="1" applyBorder="1" applyAlignment="1">
      <alignment horizontal="center" vertical="center"/>
    </xf>
    <xf numFmtId="0" fontId="27" fillId="10" borderId="14" xfId="0" applyFont="1" applyFill="1" applyBorder="1"/>
    <xf numFmtId="0" fontId="27" fillId="10" borderId="15" xfId="0" applyFont="1" applyFill="1" applyBorder="1" applyAlignment="1">
      <alignment horizontal="center" vertical="center"/>
    </xf>
    <xf numFmtId="0" fontId="28" fillId="3" borderId="0" xfId="3" applyFont="1" applyFill="1" applyAlignment="1">
      <alignment horizontal="center" vertical="center"/>
    </xf>
    <xf numFmtId="0" fontId="25" fillId="2" borderId="0" xfId="0" applyFont="1" applyFill="1"/>
    <xf numFmtId="0" fontId="25" fillId="7" borderId="12" xfId="0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vertical="center"/>
    </xf>
    <xf numFmtId="167" fontId="23" fillId="5" borderId="0" xfId="0" applyNumberFormat="1" applyFont="1" applyFill="1" applyAlignment="1">
      <alignment vertical="center"/>
    </xf>
    <xf numFmtId="166" fontId="14" fillId="2" borderId="0" xfId="0" applyNumberFormat="1" applyFont="1" applyFill="1" applyAlignment="1">
      <alignment horizontal="left"/>
    </xf>
    <xf numFmtId="167" fontId="25" fillId="3" borderId="0" xfId="0" applyNumberFormat="1" applyFont="1" applyFill="1" applyAlignment="1">
      <alignment horizontal="right"/>
    </xf>
    <xf numFmtId="166" fontId="14" fillId="2" borderId="8" xfId="0" applyNumberFormat="1" applyFont="1" applyFill="1" applyBorder="1" applyAlignment="1">
      <alignment horizontal="center" vertical="center"/>
    </xf>
    <xf numFmtId="173" fontId="23" fillId="5" borderId="0" xfId="0" applyNumberFormat="1" applyFont="1" applyFill="1"/>
    <xf numFmtId="167" fontId="25" fillId="2" borderId="0" xfId="0" applyNumberFormat="1" applyFont="1" applyFill="1"/>
    <xf numFmtId="166" fontId="14" fillId="2" borderId="1" xfId="1" applyNumberFormat="1" applyFont="1" applyFill="1" applyBorder="1"/>
    <xf numFmtId="166" fontId="14" fillId="2" borderId="2" xfId="1" applyNumberFormat="1" applyFont="1" applyFill="1" applyBorder="1"/>
    <xf numFmtId="166" fontId="14" fillId="2" borderId="3" xfId="1" applyNumberFormat="1" applyFont="1" applyFill="1" applyBorder="1"/>
    <xf numFmtId="167" fontId="27" fillId="10" borderId="14" xfId="0" applyNumberFormat="1" applyFont="1" applyFill="1" applyBorder="1"/>
    <xf numFmtId="166" fontId="15" fillId="10" borderId="17" xfId="1" applyNumberFormat="1" applyFont="1" applyFill="1" applyBorder="1"/>
    <xf numFmtId="166" fontId="15" fillId="10" borderId="18" xfId="1" applyNumberFormat="1" applyFont="1" applyFill="1" applyBorder="1"/>
    <xf numFmtId="166" fontId="15" fillId="10" borderId="19" xfId="1" applyNumberFormat="1" applyFont="1" applyFill="1" applyBorder="1"/>
    <xf numFmtId="173" fontId="27" fillId="10" borderId="14" xfId="0" applyNumberFormat="1" applyFont="1" applyFill="1" applyBorder="1"/>
    <xf numFmtId="166" fontId="14" fillId="9" borderId="1" xfId="1" applyNumberFormat="1" applyFont="1" applyFill="1" applyBorder="1"/>
    <xf numFmtId="166" fontId="14" fillId="9" borderId="2" xfId="1" applyNumberFormat="1" applyFont="1" applyFill="1" applyBorder="1"/>
    <xf numFmtId="166" fontId="14" fillId="9" borderId="3" xfId="1" applyNumberFormat="1" applyFont="1" applyFill="1" applyBorder="1" applyAlignment="1">
      <alignment horizontal="right"/>
    </xf>
    <xf numFmtId="166" fontId="14" fillId="9" borderId="3" xfId="1" applyNumberFormat="1" applyFont="1" applyFill="1" applyBorder="1"/>
    <xf numFmtId="166" fontId="27" fillId="10" borderId="17" xfId="0" applyNumberFormat="1" applyFont="1" applyFill="1" applyBorder="1"/>
    <xf numFmtId="166" fontId="27" fillId="10" borderId="18" xfId="0" applyNumberFormat="1" applyFont="1" applyFill="1" applyBorder="1"/>
    <xf numFmtId="166" fontId="27" fillId="10" borderId="19" xfId="0" applyNumberFormat="1" applyFont="1" applyFill="1" applyBorder="1" applyAlignment="1">
      <alignment horizontal="right"/>
    </xf>
    <xf numFmtId="166" fontId="27" fillId="10" borderId="19" xfId="0" applyNumberFormat="1" applyFont="1" applyFill="1" applyBorder="1"/>
    <xf numFmtId="166" fontId="14" fillId="9" borderId="1" xfId="0" applyNumberFormat="1" applyFont="1" applyFill="1" applyBorder="1"/>
    <xf numFmtId="166" fontId="14" fillId="9" borderId="2" xfId="0" applyNumberFormat="1" applyFont="1" applyFill="1" applyBorder="1"/>
    <xf numFmtId="166" fontId="14" fillId="9" borderId="3" xfId="0" applyNumberFormat="1" applyFont="1" applyFill="1" applyBorder="1" applyAlignment="1">
      <alignment horizontal="right"/>
    </xf>
    <xf numFmtId="166" fontId="14" fillId="9" borderId="3" xfId="0" applyNumberFormat="1" applyFont="1" applyFill="1" applyBorder="1"/>
    <xf numFmtId="166" fontId="15" fillId="10" borderId="19" xfId="1" applyNumberFormat="1" applyFont="1" applyFill="1" applyBorder="1" applyAlignment="1">
      <alignment horizontal="right"/>
    </xf>
    <xf numFmtId="166" fontId="27" fillId="10" borderId="17" xfId="1" applyNumberFormat="1" applyFont="1" applyFill="1" applyBorder="1"/>
    <xf numFmtId="166" fontId="27" fillId="10" borderId="18" xfId="1" applyNumberFormat="1" applyFont="1" applyFill="1" applyBorder="1"/>
    <xf numFmtId="166" fontId="27" fillId="10" borderId="19" xfId="1" applyNumberFormat="1" applyFont="1" applyFill="1" applyBorder="1" applyAlignment="1">
      <alignment horizontal="right"/>
    </xf>
    <xf numFmtId="166" fontId="27" fillId="10" borderId="19" xfId="1" applyNumberFormat="1" applyFont="1" applyFill="1" applyBorder="1"/>
    <xf numFmtId="166" fontId="15" fillId="10" borderId="19" xfId="0" applyNumberFormat="1" applyFont="1" applyFill="1" applyBorder="1"/>
    <xf numFmtId="166" fontId="25" fillId="2" borderId="5" xfId="0" applyNumberFormat="1" applyFont="1" applyFill="1" applyBorder="1"/>
    <xf numFmtId="166" fontId="25" fillId="9" borderId="1" xfId="0" applyNumberFormat="1" applyFont="1" applyFill="1" applyBorder="1"/>
    <xf numFmtId="166" fontId="25" fillId="9" borderId="3" xfId="0" applyNumberFormat="1" applyFont="1" applyFill="1" applyBorder="1" applyAlignment="1">
      <alignment horizontal="right"/>
    </xf>
    <xf numFmtId="166" fontId="25" fillId="9" borderId="2" xfId="0" applyNumberFormat="1" applyFont="1" applyFill="1" applyBorder="1"/>
    <xf numFmtId="166" fontId="25" fillId="9" borderId="3" xfId="0" applyNumberFormat="1" applyFont="1" applyFill="1" applyBorder="1"/>
    <xf numFmtId="166" fontId="14" fillId="0" borderId="5" xfId="0" applyNumberFormat="1" applyFont="1" applyBorder="1"/>
    <xf numFmtId="166" fontId="14" fillId="0" borderId="6" xfId="0" applyNumberFormat="1" applyFont="1" applyBorder="1" applyAlignment="1">
      <alignment horizontal="right"/>
    </xf>
    <xf numFmtId="166" fontId="14" fillId="9" borderId="7" xfId="0" applyNumberFormat="1" applyFont="1" applyFill="1" applyBorder="1"/>
    <xf numFmtId="166" fontId="14" fillId="9" borderId="5" xfId="0" applyNumberFormat="1" applyFont="1" applyFill="1" applyBorder="1"/>
    <xf numFmtId="166" fontId="14" fillId="9" borderId="6" xfId="0" applyNumberFormat="1" applyFont="1" applyFill="1" applyBorder="1"/>
    <xf numFmtId="166" fontId="14" fillId="9" borderId="6" xfId="0" applyNumberFormat="1" applyFont="1" applyFill="1" applyBorder="1" applyAlignment="1">
      <alignment horizontal="right"/>
    </xf>
    <xf numFmtId="172" fontId="30" fillId="12" borderId="24" xfId="0" applyNumberFormat="1" applyFont="1" applyFill="1" applyBorder="1" applyAlignment="1">
      <alignment horizontal="center" vertical="center"/>
    </xf>
    <xf numFmtId="167" fontId="27" fillId="10" borderId="21" xfId="0" applyNumberFormat="1" applyFont="1" applyFill="1" applyBorder="1"/>
    <xf numFmtId="171" fontId="27" fillId="10" borderId="21" xfId="2" applyNumberFormat="1" applyFont="1" applyFill="1" applyBorder="1"/>
    <xf numFmtId="166" fontId="30" fillId="12" borderId="21" xfId="0" applyNumberFormat="1" applyFont="1" applyFill="1" applyBorder="1" applyAlignment="1">
      <alignment horizontal="center" vertical="center"/>
    </xf>
    <xf numFmtId="171" fontId="27" fillId="10" borderId="21" xfId="2" applyNumberFormat="1" applyFont="1" applyFill="1" applyBorder="1" applyAlignment="1">
      <alignment horizontal="center" vertical="center"/>
    </xf>
    <xf numFmtId="167" fontId="25" fillId="2" borderId="4" xfId="0" applyNumberFormat="1" applyFont="1" applyFill="1" applyBorder="1"/>
    <xf numFmtId="171" fontId="25" fillId="9" borderId="4" xfId="2" applyNumberFormat="1" applyFont="1" applyFill="1" applyBorder="1"/>
    <xf numFmtId="172" fontId="25" fillId="2" borderId="0" xfId="0" applyNumberFormat="1" applyFont="1" applyFill="1" applyAlignment="1">
      <alignment horizontal="right" vertical="center"/>
    </xf>
    <xf numFmtId="166" fontId="14" fillId="2" borderId="0" xfId="0" applyNumberFormat="1" applyFont="1" applyFill="1"/>
    <xf numFmtId="167" fontId="23" fillId="5" borderId="0" xfId="0" applyNumberFormat="1" applyFont="1" applyFill="1"/>
    <xf numFmtId="166" fontId="27" fillId="10" borderId="14" xfId="0" applyNumberFormat="1" applyFont="1" applyFill="1" applyBorder="1"/>
    <xf numFmtId="172" fontId="27" fillId="10" borderId="14" xfId="0" applyNumberFormat="1" applyFont="1" applyFill="1" applyBorder="1" applyAlignment="1">
      <alignment horizontal="right" vertical="center"/>
    </xf>
    <xf numFmtId="166" fontId="15" fillId="10" borderId="14" xfId="0" applyNumberFormat="1" applyFont="1" applyFill="1" applyBorder="1"/>
    <xf numFmtId="166" fontId="25" fillId="9" borderId="0" xfId="0" applyNumberFormat="1" applyFont="1" applyFill="1"/>
    <xf numFmtId="171" fontId="29" fillId="12" borderId="11" xfId="2" applyNumberFormat="1" applyFont="1" applyFill="1" applyBorder="1" applyAlignment="1">
      <alignment horizontal="center" vertical="center"/>
    </xf>
    <xf numFmtId="171" fontId="30" fillId="12" borderId="28" xfId="2" applyNumberFormat="1" applyFont="1" applyFill="1" applyBorder="1" applyAlignment="1">
      <alignment horizontal="center" vertical="center"/>
    </xf>
    <xf numFmtId="168" fontId="29" fillId="12" borderId="27" xfId="0" applyNumberFormat="1" applyFont="1" applyFill="1" applyBorder="1" applyAlignment="1">
      <alignment horizontal="center" vertical="center"/>
    </xf>
    <xf numFmtId="166" fontId="14" fillId="9" borderId="0" xfId="0" applyNumberFormat="1" applyFont="1" applyFill="1"/>
    <xf numFmtId="171" fontId="25" fillId="9" borderId="0" xfId="2" applyNumberFormat="1" applyFont="1" applyFill="1"/>
    <xf numFmtId="0" fontId="25" fillId="7" borderId="8" xfId="0" applyFont="1" applyFill="1" applyBorder="1" applyAlignment="1">
      <alignment horizontal="center" vertical="center"/>
    </xf>
    <xf numFmtId="167" fontId="23" fillId="8" borderId="0" xfId="0" applyNumberFormat="1" applyFont="1" applyFill="1" applyAlignment="1">
      <alignment horizontal="center" vertical="center"/>
    </xf>
    <xf numFmtId="167" fontId="23" fillId="8" borderId="0" xfId="0" applyNumberFormat="1" applyFont="1" applyFill="1" applyAlignment="1">
      <alignment horizontal="center"/>
    </xf>
    <xf numFmtId="167" fontId="27" fillId="10" borderId="30" xfId="0" applyNumberFormat="1" applyFont="1" applyFill="1" applyBorder="1" applyAlignment="1">
      <alignment horizontal="center" vertical="center"/>
    </xf>
    <xf numFmtId="167" fontId="23" fillId="8" borderId="0" xfId="0" applyNumberFormat="1" applyFont="1" applyFill="1" applyAlignment="1">
      <alignment horizontal="center" vertical="top"/>
    </xf>
    <xf numFmtId="166" fontId="15" fillId="10" borderId="14" xfId="0" applyNumberFormat="1" applyFont="1" applyFill="1" applyBorder="1" applyAlignment="1">
      <alignment horizontal="center" vertical="center"/>
    </xf>
    <xf numFmtId="166" fontId="15" fillId="10" borderId="15" xfId="0" applyNumberFormat="1" applyFont="1" applyFill="1" applyBorder="1" applyAlignment="1">
      <alignment horizontal="center" vertical="center"/>
    </xf>
    <xf numFmtId="167" fontId="23" fillId="8" borderId="0" xfId="0" applyNumberFormat="1" applyFont="1" applyFill="1"/>
    <xf numFmtId="167" fontId="23" fillId="5" borderId="0" xfId="0" applyNumberFormat="1" applyFont="1" applyFill="1" applyAlignment="1">
      <alignment horizontal="center" vertical="center"/>
    </xf>
    <xf numFmtId="167" fontId="25" fillId="2" borderId="0" xfId="0" applyNumberFormat="1" applyFont="1" applyFill="1" applyAlignment="1">
      <alignment vertical="center"/>
    </xf>
    <xf numFmtId="171" fontId="29" fillId="12" borderId="5" xfId="2" applyNumberFormat="1" applyFont="1" applyFill="1" applyBorder="1" applyAlignment="1">
      <alignment horizontal="center" vertical="center"/>
    </xf>
    <xf numFmtId="171" fontId="29" fillId="12" borderId="6" xfId="2" applyNumberFormat="1" applyFont="1" applyFill="1" applyBorder="1" applyAlignment="1">
      <alignment horizontal="center" vertical="center"/>
    </xf>
    <xf numFmtId="171" fontId="29" fillId="12" borderId="7" xfId="2" applyNumberFormat="1" applyFont="1" applyFill="1" applyBorder="1" applyAlignment="1">
      <alignment horizontal="center" vertical="center"/>
    </xf>
    <xf numFmtId="167" fontId="27" fillId="10" borderId="14" xfId="0" applyNumberFormat="1" applyFont="1" applyFill="1" applyBorder="1" applyAlignment="1">
      <alignment horizontal="center" vertical="center"/>
    </xf>
    <xf numFmtId="167" fontId="27" fillId="10" borderId="14" xfId="1" applyNumberFormat="1" applyFont="1" applyFill="1" applyBorder="1" applyAlignment="1">
      <alignment horizontal="center" vertical="center"/>
    </xf>
    <xf numFmtId="166" fontId="29" fillId="12" borderId="5" xfId="1" applyNumberFormat="1" applyFont="1" applyFill="1" applyBorder="1" applyAlignment="1">
      <alignment horizontal="center" vertical="center"/>
    </xf>
    <xf numFmtId="166" fontId="29" fillId="12" borderId="6" xfId="1" applyNumberFormat="1" applyFont="1" applyFill="1" applyBorder="1" applyAlignment="1">
      <alignment horizontal="center" vertical="center"/>
    </xf>
    <xf numFmtId="166" fontId="14" fillId="2" borderId="6" xfId="1" applyNumberFormat="1" applyFont="1" applyFill="1" applyBorder="1"/>
    <xf numFmtId="166" fontId="25" fillId="2" borderId="7" xfId="1" applyNumberFormat="1" applyFont="1" applyFill="1" applyBorder="1"/>
    <xf numFmtId="166" fontId="27" fillId="10" borderId="23" xfId="1" applyNumberFormat="1" applyFont="1" applyFill="1" applyBorder="1"/>
    <xf numFmtId="166" fontId="27" fillId="10" borderId="33" xfId="1" applyNumberFormat="1" applyFont="1" applyFill="1" applyBorder="1"/>
    <xf numFmtId="166" fontId="27" fillId="10" borderId="34" xfId="1" applyNumberFormat="1" applyFont="1" applyFill="1" applyBorder="1"/>
    <xf numFmtId="167" fontId="27" fillId="10" borderId="14" xfId="1" applyNumberFormat="1" applyFont="1" applyFill="1" applyBorder="1"/>
    <xf numFmtId="167" fontId="27" fillId="10" borderId="14" xfId="0" applyNumberFormat="1" applyFont="1" applyFill="1" applyBorder="1" applyAlignment="1">
      <alignment vertical="center"/>
    </xf>
    <xf numFmtId="167" fontId="27" fillId="10" borderId="14" xfId="0" applyNumberFormat="1" applyFont="1" applyFill="1" applyBorder="1" applyAlignment="1">
      <alignment horizontal="right" vertical="center"/>
    </xf>
    <xf numFmtId="171" fontId="30" fillId="12" borderId="23" xfId="2" applyNumberFormat="1" applyFont="1" applyFill="1" applyBorder="1" applyAlignment="1">
      <alignment horizontal="center" vertical="center"/>
    </xf>
    <xf numFmtId="166" fontId="27" fillId="10" borderId="33" xfId="0" applyNumberFormat="1" applyFont="1" applyFill="1" applyBorder="1"/>
    <xf numFmtId="166" fontId="27" fillId="10" borderId="34" xfId="0" applyNumberFormat="1" applyFont="1" applyFill="1" applyBorder="1"/>
    <xf numFmtId="167" fontId="25" fillId="2" borderId="0" xfId="0" applyNumberFormat="1" applyFont="1" applyFill="1" applyAlignment="1">
      <alignment horizontal="center" vertical="center"/>
    </xf>
    <xf numFmtId="166" fontId="14" fillId="2" borderId="0" xfId="0" applyNumberFormat="1" applyFont="1" applyFill="1" applyAlignment="1">
      <alignment horizontal="center" vertical="center"/>
    </xf>
    <xf numFmtId="166" fontId="14" fillId="2" borderId="5" xfId="1" applyNumberFormat="1" applyFont="1" applyFill="1" applyBorder="1"/>
    <xf numFmtId="166" fontId="14" fillId="2" borderId="7" xfId="1" applyNumberFormat="1" applyFont="1" applyFill="1" applyBorder="1"/>
    <xf numFmtId="166" fontId="14" fillId="2" borderId="5" xfId="0" applyNumberFormat="1" applyFont="1" applyFill="1" applyBorder="1"/>
    <xf numFmtId="166" fontId="14" fillId="2" borderId="6" xfId="0" applyNumberFormat="1" applyFont="1" applyFill="1" applyBorder="1"/>
    <xf numFmtId="166" fontId="14" fillId="2" borderId="7" xfId="0" applyNumberFormat="1" applyFont="1" applyFill="1" applyBorder="1"/>
    <xf numFmtId="174" fontId="29" fillId="12" borderId="6" xfId="0" applyNumberFormat="1" applyFont="1" applyFill="1" applyBorder="1" applyAlignment="1">
      <alignment horizontal="center" vertical="center"/>
    </xf>
    <xf numFmtId="174" fontId="29" fillId="12" borderId="7" xfId="0" applyNumberFormat="1" applyFont="1" applyFill="1" applyBorder="1" applyAlignment="1">
      <alignment horizontal="center" vertical="center"/>
    </xf>
    <xf numFmtId="174" fontId="30" fillId="12" borderId="23" xfId="0" applyNumberFormat="1" applyFont="1" applyFill="1" applyBorder="1" applyAlignment="1">
      <alignment horizontal="center" vertical="center"/>
    </xf>
    <xf numFmtId="174" fontId="30" fillId="12" borderId="33" xfId="0" applyNumberFormat="1" applyFont="1" applyFill="1" applyBorder="1" applyAlignment="1">
      <alignment horizontal="center" vertical="center"/>
    </xf>
    <xf numFmtId="174" fontId="30" fillId="12" borderId="34" xfId="0" applyNumberFormat="1" applyFont="1" applyFill="1" applyBorder="1" applyAlignment="1">
      <alignment horizontal="center" vertical="center"/>
    </xf>
    <xf numFmtId="166" fontId="29" fillId="12" borderId="5" xfId="0" applyNumberFormat="1" applyFont="1" applyFill="1" applyBorder="1" applyAlignment="1">
      <alignment horizontal="center" vertical="center"/>
    </xf>
    <xf numFmtId="166" fontId="29" fillId="12" borderId="6" xfId="0" applyNumberFormat="1" applyFont="1" applyFill="1" applyBorder="1" applyAlignment="1">
      <alignment horizontal="center" vertical="center"/>
    </xf>
    <xf numFmtId="166" fontId="29" fillId="12" borderId="7" xfId="0" applyNumberFormat="1" applyFont="1" applyFill="1" applyBorder="1" applyAlignment="1">
      <alignment horizontal="center" vertical="center"/>
    </xf>
    <xf numFmtId="174" fontId="29" fillId="12" borderId="5" xfId="0" applyNumberFormat="1" applyFont="1" applyFill="1" applyBorder="1" applyAlignment="1">
      <alignment horizontal="center" vertical="center"/>
    </xf>
    <xf numFmtId="166" fontId="30" fillId="12" borderId="23" xfId="0" applyNumberFormat="1" applyFont="1" applyFill="1" applyBorder="1"/>
    <xf numFmtId="166" fontId="27" fillId="10" borderId="23" xfId="0" applyNumberFormat="1" applyFont="1" applyFill="1" applyBorder="1"/>
    <xf numFmtId="171" fontId="25" fillId="2" borderId="0" xfId="2" applyNumberFormat="1" applyFont="1" applyFill="1"/>
    <xf numFmtId="171" fontId="25" fillId="2" borderId="5" xfId="2" applyNumberFormat="1" applyFont="1" applyFill="1" applyBorder="1"/>
    <xf numFmtId="171" fontId="25" fillId="2" borderId="6" xfId="2" applyNumberFormat="1" applyFont="1" applyFill="1" applyBorder="1"/>
    <xf numFmtId="171" fontId="25" fillId="2" borderId="7" xfId="2" applyNumberFormat="1" applyFont="1" applyFill="1" applyBorder="1"/>
    <xf numFmtId="166" fontId="25" fillId="2" borderId="7" xfId="0" applyNumberFormat="1" applyFont="1" applyFill="1" applyBorder="1"/>
    <xf numFmtId="166" fontId="25" fillId="2" borderId="5" xfId="1" applyNumberFormat="1" applyFont="1" applyFill="1" applyBorder="1"/>
    <xf numFmtId="167" fontId="25" fillId="2" borderId="0" xfId="1" applyNumberFormat="1" applyFont="1" applyFill="1"/>
    <xf numFmtId="166" fontId="29" fillId="12" borderId="5" xfId="0" applyNumberFormat="1" applyFont="1" applyFill="1" applyBorder="1"/>
    <xf numFmtId="167" fontId="31" fillId="2" borderId="0" xfId="0" applyNumberFormat="1" applyFont="1" applyFill="1"/>
    <xf numFmtId="166" fontId="25" fillId="2" borderId="6" xfId="0" applyNumberFormat="1" applyFont="1" applyFill="1" applyBorder="1"/>
    <xf numFmtId="166" fontId="14" fillId="2" borderId="9" xfId="0" applyNumberFormat="1" applyFont="1" applyFill="1" applyBorder="1" applyAlignment="1">
      <alignment horizontal="center" vertical="center"/>
    </xf>
    <xf numFmtId="166" fontId="30" fillId="12" borderId="41" xfId="0" applyNumberFormat="1" applyFont="1" applyFill="1" applyBorder="1" applyAlignment="1">
      <alignment horizontal="center" vertical="center"/>
    </xf>
    <xf numFmtId="166" fontId="15" fillId="10" borderId="23" xfId="0" applyNumberFormat="1" applyFont="1" applyFill="1" applyBorder="1"/>
    <xf numFmtId="166" fontId="15" fillId="10" borderId="33" xfId="0" applyNumberFormat="1" applyFont="1" applyFill="1" applyBorder="1"/>
    <xf numFmtId="166" fontId="25" fillId="2" borderId="6" xfId="1" applyNumberFormat="1" applyFont="1" applyFill="1" applyBorder="1"/>
    <xf numFmtId="166" fontId="25" fillId="2" borderId="6" xfId="0" applyNumberFormat="1" applyFont="1" applyFill="1" applyBorder="1" applyAlignment="1">
      <alignment horizontal="right" vertical="center"/>
    </xf>
    <xf numFmtId="171" fontId="25" fillId="2" borderId="7" xfId="2" applyNumberFormat="1" applyFont="1" applyFill="1" applyBorder="1" applyAlignment="1">
      <alignment horizontal="center" vertical="center"/>
    </xf>
    <xf numFmtId="166" fontId="27" fillId="10" borderId="33" xfId="0" applyNumberFormat="1" applyFont="1" applyFill="1" applyBorder="1" applyAlignment="1">
      <alignment horizontal="right" vertical="center"/>
    </xf>
    <xf numFmtId="171" fontId="27" fillId="10" borderId="34" xfId="2" applyNumberFormat="1" applyFont="1" applyFill="1" applyBorder="1" applyAlignment="1">
      <alignment horizontal="center" vertical="center"/>
    </xf>
    <xf numFmtId="171" fontId="27" fillId="10" borderId="23" xfId="2" applyNumberFormat="1" applyFont="1" applyFill="1" applyBorder="1"/>
    <xf numFmtId="171" fontId="27" fillId="10" borderId="33" xfId="2" applyNumberFormat="1" applyFont="1" applyFill="1" applyBorder="1"/>
    <xf numFmtId="166" fontId="27" fillId="10" borderId="33" xfId="0" applyNumberFormat="1" applyFont="1" applyFill="1" applyBorder="1" applyAlignment="1">
      <alignment horizontal="right"/>
    </xf>
    <xf numFmtId="166" fontId="25" fillId="2" borderId="0" xfId="0" applyNumberFormat="1" applyFont="1" applyFill="1" applyAlignment="1">
      <alignment horizontal="center" vertical="center"/>
    </xf>
    <xf numFmtId="166" fontId="14" fillId="2" borderId="8" xfId="0" applyNumberFormat="1" applyFont="1" applyFill="1" applyBorder="1"/>
    <xf numFmtId="166" fontId="15" fillId="10" borderId="34" xfId="0" applyNumberFormat="1" applyFont="1" applyFill="1" applyBorder="1"/>
    <xf numFmtId="167" fontId="23" fillId="4" borderId="0" xfId="0" applyNumberFormat="1" applyFont="1" applyFill="1"/>
    <xf numFmtId="167" fontId="25" fillId="3" borderId="10" xfId="0" applyNumberFormat="1" applyFont="1" applyFill="1" applyBorder="1" applyAlignment="1">
      <alignment horizontal="right"/>
    </xf>
    <xf numFmtId="0" fontId="25" fillId="7" borderId="10" xfId="0" applyFont="1" applyFill="1" applyBorder="1" applyAlignment="1">
      <alignment horizontal="center" vertical="center"/>
    </xf>
    <xf numFmtId="166" fontId="14" fillId="2" borderId="10" xfId="0" applyNumberFormat="1" applyFont="1" applyFill="1" applyBorder="1"/>
    <xf numFmtId="166" fontId="12" fillId="11" borderId="16" xfId="0" applyNumberFormat="1" applyFont="1" applyFill="1" applyBorder="1" applyAlignment="1">
      <alignment horizontal="center" vertical="center"/>
    </xf>
    <xf numFmtId="173" fontId="23" fillId="5" borderId="0" xfId="0" applyNumberFormat="1" applyFont="1" applyFill="1" applyAlignment="1">
      <alignment horizontal="center" vertical="center"/>
    </xf>
    <xf numFmtId="166" fontId="23" fillId="4" borderId="0" xfId="0" applyNumberFormat="1" applyFont="1" applyFill="1"/>
    <xf numFmtId="166" fontId="12" fillId="11" borderId="25" xfId="0" applyNumberFormat="1" applyFont="1" applyFill="1" applyBorder="1"/>
    <xf numFmtId="166" fontId="12" fillId="11" borderId="16" xfId="0" applyNumberFormat="1" applyFont="1" applyFill="1" applyBorder="1"/>
    <xf numFmtId="166" fontId="12" fillId="11" borderId="29" xfId="0" applyNumberFormat="1" applyFont="1" applyFill="1" applyBorder="1"/>
    <xf numFmtId="166" fontId="12" fillId="11" borderId="25" xfId="0" applyNumberFormat="1" applyFont="1" applyFill="1" applyBorder="1" applyAlignment="1">
      <alignment horizontal="right" vertical="center"/>
    </xf>
    <xf numFmtId="166" fontId="12" fillId="11" borderId="25" xfId="0" applyNumberFormat="1" applyFont="1" applyFill="1" applyBorder="1" applyAlignment="1">
      <alignment horizontal="center"/>
    </xf>
    <xf numFmtId="166" fontId="12" fillId="11" borderId="25" xfId="0" applyNumberFormat="1" applyFont="1" applyFill="1" applyBorder="1" applyAlignment="1">
      <alignment horizontal="center" vertical="center"/>
    </xf>
    <xf numFmtId="171" fontId="23" fillId="8" borderId="0" xfId="2" applyNumberFormat="1" applyFont="1" applyFill="1" applyAlignment="1">
      <alignment horizontal="center" vertical="center"/>
    </xf>
    <xf numFmtId="166" fontId="23" fillId="8" borderId="0" xfId="0" applyNumberFormat="1" applyFont="1" applyFill="1" applyAlignment="1">
      <alignment horizontal="center" vertical="center"/>
    </xf>
    <xf numFmtId="168" fontId="23" fillId="8" borderId="0" xfId="0" applyNumberFormat="1" applyFont="1" applyFill="1" applyAlignment="1">
      <alignment horizontal="center" vertical="center"/>
    </xf>
    <xf numFmtId="166" fontId="23" fillId="8" borderId="11" xfId="0" applyNumberFormat="1" applyFont="1" applyFill="1" applyBorder="1" applyAlignment="1">
      <alignment horizontal="center" vertical="center"/>
    </xf>
    <xf numFmtId="166" fontId="23" fillId="5" borderId="0" xfId="0" applyNumberFormat="1" applyFont="1" applyFill="1" applyAlignment="1">
      <alignment horizontal="center" vertical="center"/>
    </xf>
    <xf numFmtId="166" fontId="12" fillId="11" borderId="41" xfId="0" applyNumberFormat="1" applyFont="1" applyFill="1" applyBorder="1" applyAlignment="1">
      <alignment horizontal="center" vertical="center"/>
    </xf>
    <xf numFmtId="166" fontId="23" fillId="5" borderId="0" xfId="0" applyNumberFormat="1" applyFont="1" applyFill="1" applyAlignment="1">
      <alignment vertical="center"/>
    </xf>
    <xf numFmtId="170" fontId="25" fillId="0" borderId="0" xfId="1" applyNumberFormat="1" applyFont="1" applyFill="1" applyBorder="1"/>
    <xf numFmtId="166" fontId="25" fillId="0" borderId="0" xfId="1" applyNumberFormat="1" applyFont="1" applyFill="1" applyBorder="1"/>
    <xf numFmtId="167" fontId="25" fillId="0" borderId="0" xfId="1" applyNumberFormat="1" applyFont="1" applyFill="1" applyBorder="1"/>
    <xf numFmtId="0" fontId="25" fillId="0" borderId="0" xfId="1" applyNumberFormat="1" applyFont="1" applyFill="1" applyBorder="1"/>
    <xf numFmtId="171" fontId="25" fillId="0" borderId="0" xfId="2" applyNumberFormat="1" applyFont="1" applyFill="1" applyBorder="1"/>
    <xf numFmtId="168" fontId="25" fillId="0" borderId="0" xfId="1" applyNumberFormat="1" applyFont="1" applyFill="1" applyBorder="1"/>
    <xf numFmtId="167" fontId="25" fillId="0" borderId="0" xfId="0" applyNumberFormat="1" applyFont="1"/>
    <xf numFmtId="166" fontId="25" fillId="0" borderId="0" xfId="0" applyNumberFormat="1" applyFont="1"/>
    <xf numFmtId="169" fontId="25" fillId="0" borderId="0" xfId="2" applyNumberFormat="1" applyFont="1" applyFill="1" applyBorder="1"/>
    <xf numFmtId="172" fontId="25" fillId="0" borderId="0" xfId="0" applyNumberFormat="1" applyFont="1"/>
    <xf numFmtId="173" fontId="25" fillId="0" borderId="0" xfId="0" applyNumberFormat="1" applyFont="1"/>
    <xf numFmtId="0" fontId="25" fillId="0" borderId="0" xfId="0" applyFont="1"/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65" fontId="25" fillId="0" borderId="0" xfId="1" applyNumberFormat="1" applyFont="1" applyFill="1" applyBorder="1"/>
    <xf numFmtId="168" fontId="25" fillId="0" borderId="0" xfId="0" applyNumberFormat="1" applyFont="1"/>
    <xf numFmtId="173" fontId="25" fillId="0" borderId="0" xfId="0" applyNumberFormat="1" applyFont="1" applyAlignment="1">
      <alignment horizontal="center" vertical="center"/>
    </xf>
    <xf numFmtId="164" fontId="25" fillId="0" borderId="0" xfId="1" applyFont="1" applyFill="1" applyBorder="1"/>
    <xf numFmtId="0" fontId="5" fillId="0" borderId="0" xfId="0" applyFont="1"/>
    <xf numFmtId="0" fontId="10" fillId="0" borderId="14" xfId="0" applyFont="1" applyBorder="1"/>
    <xf numFmtId="0" fontId="8" fillId="0" borderId="0" xfId="0" applyFont="1" applyAlignment="1">
      <alignment horizontal="center" vertical="center"/>
    </xf>
    <xf numFmtId="167" fontId="5" fillId="0" borderId="0" xfId="0" applyNumberFormat="1" applyFont="1"/>
    <xf numFmtId="167" fontId="6" fillId="0" borderId="0" xfId="0" applyNumberFormat="1" applyFont="1"/>
    <xf numFmtId="173" fontId="6" fillId="0" borderId="0" xfId="0" applyNumberFormat="1" applyFont="1"/>
    <xf numFmtId="167" fontId="9" fillId="0" borderId="14" xfId="0" applyNumberFormat="1" applyFont="1" applyBorder="1"/>
    <xf numFmtId="167" fontId="10" fillId="0" borderId="14" xfId="0" applyNumberFormat="1" applyFont="1" applyBorder="1"/>
    <xf numFmtId="173" fontId="5" fillId="0" borderId="0" xfId="0" applyNumberFormat="1" applyFont="1"/>
    <xf numFmtId="166" fontId="15" fillId="0" borderId="17" xfId="0" applyNumberFormat="1" applyFont="1" applyBorder="1"/>
    <xf numFmtId="166" fontId="15" fillId="0" borderId="19" xfId="0" applyNumberFormat="1" applyFont="1" applyBorder="1" applyAlignment="1">
      <alignment horizontal="right"/>
    </xf>
    <xf numFmtId="166" fontId="15" fillId="0" borderId="18" xfId="0" applyNumberFormat="1" applyFont="1" applyBorder="1"/>
    <xf numFmtId="167" fontId="16" fillId="0" borderId="0" xfId="0" applyNumberFormat="1" applyFont="1"/>
    <xf numFmtId="167" fontId="10" fillId="0" borderId="21" xfId="0" applyNumberFormat="1" applyFont="1" applyBorder="1"/>
    <xf numFmtId="167" fontId="18" fillId="0" borderId="0" xfId="0" applyNumberFormat="1" applyFont="1"/>
    <xf numFmtId="167" fontId="18" fillId="0" borderId="0" xfId="0" applyNumberFormat="1" applyFont="1" applyAlignment="1">
      <alignment horizontal="center" vertical="center"/>
    </xf>
    <xf numFmtId="167" fontId="17" fillId="0" borderId="14" xfId="0" applyNumberFormat="1" applyFont="1" applyBorder="1"/>
    <xf numFmtId="167" fontId="17" fillId="0" borderId="14" xfId="1" applyNumberFormat="1" applyFont="1" applyBorder="1"/>
    <xf numFmtId="171" fontId="18" fillId="0" borderId="0" xfId="2" applyNumberFormat="1" applyFont="1"/>
    <xf numFmtId="167" fontId="18" fillId="0" borderId="0" xfId="1" applyNumberFormat="1" applyFont="1"/>
    <xf numFmtId="167" fontId="18" fillId="0" borderId="0" xfId="0" applyNumberFormat="1" applyFont="1" applyAlignment="1">
      <alignment horizontal="right"/>
    </xf>
    <xf numFmtId="167" fontId="22" fillId="0" borderId="0" xfId="0" applyNumberFormat="1" applyFont="1"/>
    <xf numFmtId="166" fontId="15" fillId="12" borderId="23" xfId="0" applyNumberFormat="1" applyFont="1" applyFill="1" applyBorder="1"/>
    <xf numFmtId="166" fontId="15" fillId="12" borderId="33" xfId="0" applyNumberFormat="1" applyFont="1" applyFill="1" applyBorder="1"/>
    <xf numFmtId="166" fontId="27" fillId="12" borderId="34" xfId="0" applyNumberFormat="1" applyFont="1" applyFill="1" applyBorder="1"/>
    <xf numFmtId="166" fontId="27" fillId="12" borderId="23" xfId="0" applyNumberFormat="1" applyFont="1" applyFill="1" applyBorder="1"/>
    <xf numFmtId="166" fontId="27" fillId="12" borderId="33" xfId="0" applyNumberFormat="1" applyFont="1" applyFill="1" applyBorder="1"/>
    <xf numFmtId="166" fontId="14" fillId="12" borderId="5" xfId="0" applyNumberFormat="1" applyFont="1" applyFill="1" applyBorder="1"/>
    <xf numFmtId="166" fontId="14" fillId="12" borderId="6" xfId="0" applyNumberFormat="1" applyFont="1" applyFill="1" applyBorder="1"/>
    <xf numFmtId="166" fontId="25" fillId="12" borderId="7" xfId="0" applyNumberFormat="1" applyFont="1" applyFill="1" applyBorder="1"/>
    <xf numFmtId="171" fontId="25" fillId="12" borderId="5" xfId="2" applyNumberFormat="1" applyFont="1" applyFill="1" applyBorder="1"/>
    <xf numFmtId="171" fontId="25" fillId="12" borderId="6" xfId="2" applyNumberFormat="1" applyFont="1" applyFill="1" applyBorder="1"/>
    <xf numFmtId="171" fontId="25" fillId="12" borderId="7" xfId="2" applyNumberFormat="1" applyFont="1" applyFill="1" applyBorder="1"/>
    <xf numFmtId="166" fontId="25" fillId="12" borderId="5" xfId="0" applyNumberFormat="1" applyFont="1" applyFill="1" applyBorder="1"/>
    <xf numFmtId="166" fontId="25" fillId="12" borderId="6" xfId="0" applyNumberFormat="1" applyFont="1" applyFill="1" applyBorder="1"/>
    <xf numFmtId="166" fontId="25" fillId="12" borderId="7" xfId="1" applyNumberFormat="1" applyFont="1" applyFill="1" applyBorder="1"/>
    <xf numFmtId="166" fontId="25" fillId="12" borderId="5" xfId="1" applyNumberFormat="1" applyFont="1" applyFill="1" applyBorder="1"/>
    <xf numFmtId="166" fontId="25" fillId="12" borderId="6" xfId="1" applyNumberFormat="1" applyFont="1" applyFill="1" applyBorder="1"/>
    <xf numFmtId="166" fontId="14" fillId="12" borderId="7" xfId="0" applyNumberFormat="1" applyFont="1" applyFill="1" applyBorder="1"/>
    <xf numFmtId="166" fontId="27" fillId="12" borderId="34" xfId="1" applyNumberFormat="1" applyFont="1" applyFill="1" applyBorder="1"/>
    <xf numFmtId="166" fontId="14" fillId="12" borderId="5" xfId="1" applyNumberFormat="1" applyFont="1" applyFill="1" applyBorder="1"/>
    <xf numFmtId="166" fontId="14" fillId="12" borderId="6" xfId="1" applyNumberFormat="1" applyFont="1" applyFill="1" applyBorder="1"/>
    <xf numFmtId="166" fontId="27" fillId="12" borderId="23" xfId="1" applyNumberFormat="1" applyFont="1" applyFill="1" applyBorder="1"/>
    <xf numFmtId="166" fontId="27" fillId="12" borderId="33" xfId="1" applyNumberFormat="1" applyFont="1" applyFill="1" applyBorder="1"/>
    <xf numFmtId="167" fontId="25" fillId="2" borderId="5" xfId="0" applyNumberFormat="1" applyFont="1" applyFill="1" applyBorder="1"/>
    <xf numFmtId="167" fontId="25" fillId="2" borderId="6" xfId="0" applyNumberFormat="1" applyFont="1" applyFill="1" applyBorder="1"/>
    <xf numFmtId="167" fontId="25" fillId="2" borderId="7" xfId="0" applyNumberFormat="1" applyFont="1" applyFill="1" applyBorder="1"/>
    <xf numFmtId="167" fontId="31" fillId="4" borderId="0" xfId="0" applyNumberFormat="1" applyFont="1" applyFill="1"/>
    <xf numFmtId="167" fontId="31" fillId="0" borderId="0" xfId="0" applyNumberFormat="1" applyFont="1"/>
    <xf numFmtId="167" fontId="6" fillId="0" borderId="7" xfId="0" applyNumberFormat="1" applyFont="1" applyBorder="1"/>
    <xf numFmtId="167" fontId="6" fillId="0" borderId="5" xfId="1" applyNumberFormat="1" applyFont="1" applyFill="1" applyBorder="1"/>
    <xf numFmtId="167" fontId="6" fillId="0" borderId="6" xfId="1" applyNumberFormat="1" applyFont="1" applyFill="1" applyBorder="1"/>
    <xf numFmtId="167" fontId="6" fillId="0" borderId="7" xfId="1" applyNumberFormat="1" applyFont="1" applyFill="1" applyBorder="1"/>
    <xf numFmtId="166" fontId="25" fillId="0" borderId="5" xfId="0" applyNumberFormat="1" applyFont="1" applyBorder="1"/>
    <xf numFmtId="166" fontId="25" fillId="0" borderId="6" xfId="0" applyNumberFormat="1" applyFont="1" applyBorder="1"/>
    <xf numFmtId="166" fontId="25" fillId="0" borderId="7" xfId="0" applyNumberFormat="1" applyFont="1" applyBorder="1"/>
    <xf numFmtId="0" fontId="2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12" fillId="11" borderId="16" xfId="0" applyFont="1" applyFill="1" applyBorder="1" applyAlignment="1">
      <alignment horizontal="center"/>
    </xf>
    <xf numFmtId="167" fontId="27" fillId="10" borderId="14" xfId="0" applyNumberFormat="1" applyFont="1" applyFill="1" applyBorder="1" applyAlignment="1">
      <alignment horizontal="center" vertical="center"/>
    </xf>
    <xf numFmtId="167" fontId="4" fillId="10" borderId="14" xfId="0" applyNumberFormat="1" applyFont="1" applyFill="1" applyBorder="1" applyAlignment="1">
      <alignment horizontal="center" vertical="center"/>
    </xf>
    <xf numFmtId="167" fontId="27" fillId="10" borderId="14" xfId="1" applyNumberFormat="1" applyFont="1" applyFill="1" applyBorder="1" applyAlignment="1">
      <alignment horizontal="center" vertical="center"/>
    </xf>
    <xf numFmtId="167" fontId="4" fillId="10" borderId="14" xfId="1" applyNumberFormat="1" applyFont="1" applyFill="1" applyBorder="1" applyAlignment="1">
      <alignment horizontal="center" vertical="center"/>
    </xf>
    <xf numFmtId="0" fontId="12" fillId="11" borderId="26" xfId="0" applyFont="1" applyFill="1" applyBorder="1" applyAlignment="1">
      <alignment horizontal="center" vertical="center"/>
    </xf>
    <xf numFmtId="166" fontId="12" fillId="11" borderId="16" xfId="0" applyNumberFormat="1" applyFont="1" applyFill="1" applyBorder="1" applyAlignment="1">
      <alignment horizontal="center" vertical="center"/>
    </xf>
    <xf numFmtId="167" fontId="12" fillId="11" borderId="16" xfId="0" applyNumberFormat="1" applyFont="1" applyFill="1" applyBorder="1" applyAlignment="1">
      <alignment horizontal="center" vertical="center"/>
    </xf>
    <xf numFmtId="167" fontId="12" fillId="11" borderId="35" xfId="0" applyNumberFormat="1" applyFont="1" applyFill="1" applyBorder="1" applyAlignment="1">
      <alignment horizontal="center" vertical="center"/>
    </xf>
    <xf numFmtId="166" fontId="12" fillId="11" borderId="16" xfId="0" applyNumberFormat="1" applyFont="1" applyFill="1" applyBorder="1" applyAlignment="1">
      <alignment horizontal="center"/>
    </xf>
    <xf numFmtId="167" fontId="12" fillId="11" borderId="16" xfId="0" applyNumberFormat="1" applyFont="1" applyFill="1" applyBorder="1" applyAlignment="1">
      <alignment horizontal="center"/>
    </xf>
    <xf numFmtId="167" fontId="12" fillId="11" borderId="26" xfId="0" applyNumberFormat="1" applyFont="1" applyFill="1" applyBorder="1" applyAlignment="1">
      <alignment horizontal="center"/>
    </xf>
    <xf numFmtId="171" fontId="12" fillId="11" borderId="16" xfId="2" applyNumberFormat="1" applyFont="1" applyFill="1" applyBorder="1" applyAlignment="1">
      <alignment horizontal="center" vertical="center"/>
    </xf>
    <xf numFmtId="167" fontId="23" fillId="8" borderId="0" xfId="0" applyNumberFormat="1" applyFont="1" applyFill="1" applyAlignment="1">
      <alignment horizontal="center" vertical="center"/>
    </xf>
    <xf numFmtId="167" fontId="3" fillId="8" borderId="0" xfId="0" applyNumberFormat="1" applyFont="1" applyFill="1" applyAlignment="1">
      <alignment horizontal="center" vertical="center"/>
    </xf>
    <xf numFmtId="166" fontId="23" fillId="8" borderId="0" xfId="0" applyNumberFormat="1" applyFont="1" applyFill="1" applyAlignment="1">
      <alignment horizontal="center" vertical="center"/>
    </xf>
    <xf numFmtId="168" fontId="23" fillId="8" borderId="0" xfId="0" applyNumberFormat="1" applyFont="1" applyFill="1" applyAlignment="1">
      <alignment horizontal="center" vertical="center"/>
    </xf>
    <xf numFmtId="168" fontId="3" fillId="8" borderId="0" xfId="0" applyNumberFormat="1" applyFont="1" applyFill="1" applyAlignment="1">
      <alignment horizontal="center" vertical="center"/>
    </xf>
    <xf numFmtId="167" fontId="27" fillId="10" borderId="30" xfId="0" applyNumberFormat="1" applyFont="1" applyFill="1" applyBorder="1" applyAlignment="1">
      <alignment horizontal="center" vertical="center"/>
    </xf>
    <xf numFmtId="167" fontId="4" fillId="10" borderId="30" xfId="0" applyNumberFormat="1" applyFont="1" applyFill="1" applyBorder="1" applyAlignment="1">
      <alignment horizontal="center" vertical="center"/>
    </xf>
    <xf numFmtId="171" fontId="23" fillId="8" borderId="0" xfId="2" applyNumberFormat="1" applyFont="1" applyFill="1" applyAlignment="1">
      <alignment horizontal="center" vertical="center"/>
    </xf>
    <xf numFmtId="171" fontId="3" fillId="8" borderId="0" xfId="2" applyNumberFormat="1" applyFont="1" applyFill="1" applyAlignment="1">
      <alignment horizontal="center" vertical="center"/>
    </xf>
    <xf numFmtId="167" fontId="12" fillId="11" borderId="26" xfId="0" applyNumberFormat="1" applyFont="1" applyFill="1" applyBorder="1" applyAlignment="1">
      <alignment horizontal="center" vertical="center"/>
    </xf>
    <xf numFmtId="167" fontId="12" fillId="11" borderId="24" xfId="0" applyNumberFormat="1" applyFont="1" applyFill="1" applyBorder="1" applyAlignment="1">
      <alignment horizontal="center" vertical="center"/>
    </xf>
    <xf numFmtId="166" fontId="12" fillId="11" borderId="25" xfId="0" applyNumberFormat="1" applyFont="1" applyFill="1" applyBorder="1" applyAlignment="1">
      <alignment horizontal="center" vertical="center"/>
    </xf>
    <xf numFmtId="167" fontId="12" fillId="11" borderId="25" xfId="0" applyNumberFormat="1" applyFont="1" applyFill="1" applyBorder="1" applyAlignment="1">
      <alignment horizontal="center" vertical="center"/>
    </xf>
    <xf numFmtId="171" fontId="19" fillId="8" borderId="0" xfId="2" applyNumberFormat="1" applyFont="1" applyFill="1" applyAlignment="1">
      <alignment horizontal="center" vertical="center"/>
    </xf>
    <xf numFmtId="166" fontId="12" fillId="11" borderId="25" xfId="0" applyNumberFormat="1" applyFont="1" applyFill="1" applyBorder="1" applyAlignment="1">
      <alignment horizontal="center"/>
    </xf>
    <xf numFmtId="167" fontId="12" fillId="11" borderId="25" xfId="0" applyNumberFormat="1" applyFont="1" applyFill="1" applyBorder="1" applyAlignment="1">
      <alignment horizontal="center"/>
    </xf>
    <xf numFmtId="167" fontId="23" fillId="8" borderId="0" xfId="0" applyNumberFormat="1" applyFont="1" applyFill="1" applyAlignment="1">
      <alignment horizontal="center"/>
    </xf>
    <xf numFmtId="167" fontId="3" fillId="8" borderId="0" xfId="0" applyNumberFormat="1" applyFont="1" applyFill="1" applyAlignment="1">
      <alignment horizontal="center"/>
    </xf>
    <xf numFmtId="167" fontId="27" fillId="10" borderId="22" xfId="0" applyNumberFormat="1" applyFont="1" applyFill="1" applyBorder="1" applyAlignment="1">
      <alignment horizontal="center" vertical="center" textRotation="90"/>
    </xf>
    <xf numFmtId="167" fontId="9" fillId="10" borderId="22" xfId="0" applyNumberFormat="1" applyFont="1" applyFill="1" applyBorder="1" applyAlignment="1">
      <alignment horizontal="center" vertical="center" textRotation="90"/>
    </xf>
    <xf numFmtId="167" fontId="6" fillId="2" borderId="5" xfId="0" applyNumberFormat="1" applyFont="1" applyFill="1" applyBorder="1" applyAlignment="1">
      <alignment horizontal="center" vertical="center" textRotation="90"/>
    </xf>
    <xf numFmtId="167" fontId="9" fillId="10" borderId="23" xfId="0" applyNumberFormat="1" applyFont="1" applyFill="1" applyBorder="1" applyAlignment="1">
      <alignment horizontal="center" vertical="center" textRotation="90"/>
    </xf>
    <xf numFmtId="167" fontId="9" fillId="10" borderId="21" xfId="0" applyNumberFormat="1" applyFont="1" applyFill="1" applyBorder="1" applyAlignment="1">
      <alignment horizontal="center" vertical="center"/>
    </xf>
    <xf numFmtId="167" fontId="25" fillId="0" borderId="0" xfId="0" applyNumberFormat="1" applyFont="1" applyAlignment="1">
      <alignment wrapText="1"/>
    </xf>
    <xf numFmtId="167" fontId="7" fillId="0" borderId="6" xfId="0" applyNumberFormat="1" applyFont="1" applyFill="1" applyBorder="1" applyAlignment="1">
      <alignment horizontal="center" vertical="center"/>
    </xf>
    <xf numFmtId="167" fontId="7" fillId="0" borderId="7" xfId="0" applyNumberFormat="1" applyFont="1" applyFill="1" applyBorder="1" applyAlignment="1">
      <alignment horizontal="center" vertical="center"/>
    </xf>
    <xf numFmtId="174" fontId="7" fillId="0" borderId="6" xfId="0" applyNumberFormat="1" applyFont="1" applyFill="1" applyBorder="1" applyAlignment="1">
      <alignment horizontal="center" vertical="center"/>
    </xf>
    <xf numFmtId="174" fontId="7" fillId="0" borderId="7" xfId="0" applyNumberFormat="1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167" fontId="7" fillId="0" borderId="0" xfId="0" applyNumberFormat="1" applyFont="1" applyFill="1"/>
    <xf numFmtId="167" fontId="7" fillId="0" borderId="5" xfId="1" applyNumberFormat="1" applyFont="1" applyFill="1" applyBorder="1" applyAlignment="1">
      <alignment horizontal="center" vertical="center"/>
    </xf>
    <xf numFmtId="167" fontId="7" fillId="0" borderId="6" xfId="1" applyNumberFormat="1" applyFont="1" applyFill="1" applyBorder="1" applyAlignment="1">
      <alignment horizontal="center" vertical="center"/>
    </xf>
    <xf numFmtId="167" fontId="7" fillId="0" borderId="5" xfId="0" applyNumberFormat="1" applyFont="1" applyFill="1" applyBorder="1"/>
    <xf numFmtId="167" fontId="7" fillId="0" borderId="6" xfId="0" applyNumberFormat="1" applyFont="1" applyFill="1" applyBorder="1"/>
    <xf numFmtId="166" fontId="15" fillId="0" borderId="23" xfId="0" applyNumberFormat="1" applyFont="1" applyFill="1" applyBorder="1"/>
    <xf numFmtId="166" fontId="15" fillId="0" borderId="33" xfId="0" applyNumberFormat="1" applyFont="1" applyFill="1" applyBorder="1"/>
    <xf numFmtId="166" fontId="27" fillId="0" borderId="34" xfId="0" applyNumberFormat="1" applyFont="1" applyFill="1" applyBorder="1"/>
    <xf numFmtId="166" fontId="27" fillId="0" borderId="23" xfId="0" applyNumberFormat="1" applyFont="1" applyFill="1" applyBorder="1"/>
    <xf numFmtId="166" fontId="27" fillId="0" borderId="33" xfId="0" applyNumberFormat="1" applyFont="1" applyFill="1" applyBorder="1"/>
    <xf numFmtId="166" fontId="14" fillId="0" borderId="5" xfId="0" applyNumberFormat="1" applyFont="1" applyFill="1" applyBorder="1"/>
    <xf numFmtId="166" fontId="14" fillId="0" borderId="6" xfId="0" applyNumberFormat="1" applyFont="1" applyFill="1" applyBorder="1"/>
    <xf numFmtId="166" fontId="25" fillId="0" borderId="7" xfId="0" applyNumberFormat="1" applyFont="1" applyFill="1" applyBorder="1"/>
    <xf numFmtId="171" fontId="25" fillId="0" borderId="5" xfId="2" applyNumberFormat="1" applyFont="1" applyFill="1" applyBorder="1"/>
    <xf numFmtId="171" fontId="25" fillId="0" borderId="6" xfId="2" applyNumberFormat="1" applyFont="1" applyFill="1" applyBorder="1"/>
    <xf numFmtId="171" fontId="25" fillId="0" borderId="7" xfId="2" applyNumberFormat="1" applyFont="1" applyFill="1" applyBorder="1"/>
    <xf numFmtId="166" fontId="25" fillId="0" borderId="5" xfId="0" applyNumberFormat="1" applyFont="1" applyFill="1" applyBorder="1"/>
    <xf numFmtId="166" fontId="25" fillId="0" borderId="6" xfId="0" applyNumberFormat="1" applyFont="1" applyFill="1" applyBorder="1"/>
    <xf numFmtId="166" fontId="25" fillId="0" borderId="7" xfId="1" applyNumberFormat="1" applyFont="1" applyFill="1" applyBorder="1"/>
    <xf numFmtId="166" fontId="25" fillId="0" borderId="5" xfId="1" applyNumberFormat="1" applyFont="1" applyFill="1" applyBorder="1"/>
    <xf numFmtId="166" fontId="25" fillId="0" borderId="6" xfId="1" applyNumberFormat="1" applyFont="1" applyFill="1" applyBorder="1"/>
    <xf numFmtId="166" fontId="14" fillId="0" borderId="7" xfId="0" applyNumberFormat="1" applyFont="1" applyFill="1" applyBorder="1"/>
    <xf numFmtId="166" fontId="27" fillId="0" borderId="34" xfId="1" applyNumberFormat="1" applyFont="1" applyFill="1" applyBorder="1"/>
    <xf numFmtId="166" fontId="14" fillId="0" borderId="5" xfId="1" applyNumberFormat="1" applyFont="1" applyFill="1" applyBorder="1"/>
    <xf numFmtId="166" fontId="14" fillId="0" borderId="6" xfId="1" applyNumberFormat="1" applyFont="1" applyFill="1" applyBorder="1"/>
    <xf numFmtId="166" fontId="27" fillId="0" borderId="23" xfId="1" applyNumberFormat="1" applyFont="1" applyFill="1" applyBorder="1"/>
    <xf numFmtId="166" fontId="27" fillId="0" borderId="33" xfId="1" applyNumberFormat="1" applyFont="1" applyFill="1" applyBorder="1"/>
    <xf numFmtId="166" fontId="29" fillId="0" borderId="5" xfId="0" applyNumberFormat="1" applyFont="1" applyFill="1" applyBorder="1"/>
    <xf numFmtId="166" fontId="14" fillId="0" borderId="1" xfId="1" applyNumberFormat="1" applyFont="1" applyFill="1" applyBorder="1"/>
    <xf numFmtId="166" fontId="14" fillId="0" borderId="2" xfId="1" applyNumberFormat="1" applyFont="1" applyFill="1" applyBorder="1"/>
    <xf numFmtId="166" fontId="14" fillId="0" borderId="3" xfId="1" applyNumberFormat="1" applyFont="1" applyFill="1" applyBorder="1" applyAlignment="1">
      <alignment horizontal="right"/>
    </xf>
    <xf numFmtId="166" fontId="14" fillId="0" borderId="3" xfId="1" applyNumberFormat="1" applyFont="1" applyFill="1" applyBorder="1"/>
    <xf numFmtId="166" fontId="14" fillId="0" borderId="1" xfId="0" applyNumberFormat="1" applyFont="1" applyFill="1" applyBorder="1"/>
    <xf numFmtId="166" fontId="14" fillId="0" borderId="2" xfId="0" applyNumberFormat="1" applyFont="1" applyFill="1" applyBorder="1"/>
    <xf numFmtId="166" fontId="14" fillId="0" borderId="3" xfId="0" applyNumberFormat="1" applyFont="1" applyFill="1" applyBorder="1" applyAlignment="1">
      <alignment horizontal="right"/>
    </xf>
    <xf numFmtId="166" fontId="14" fillId="0" borderId="3" xfId="0" applyNumberFormat="1" applyFont="1" applyFill="1" applyBorder="1"/>
    <xf numFmtId="166" fontId="25" fillId="0" borderId="1" xfId="0" applyNumberFormat="1" applyFont="1" applyFill="1" applyBorder="1"/>
    <xf numFmtId="166" fontId="25" fillId="0" borderId="3" xfId="0" applyNumberFormat="1" applyFont="1" applyFill="1" applyBorder="1" applyAlignment="1">
      <alignment horizontal="right"/>
    </xf>
    <xf numFmtId="166" fontId="25" fillId="0" borderId="2" xfId="0" applyNumberFormat="1" applyFont="1" applyFill="1" applyBorder="1"/>
    <xf numFmtId="166" fontId="25" fillId="0" borderId="3" xfId="0" applyNumberFormat="1" applyFont="1" applyFill="1" applyBorder="1"/>
    <xf numFmtId="167" fontId="6" fillId="0" borderId="7" xfId="0" applyNumberFormat="1" applyFont="1" applyFill="1" applyBorder="1"/>
    <xf numFmtId="166" fontId="14" fillId="0" borderId="6" xfId="0" applyNumberFormat="1" applyFont="1" applyFill="1" applyBorder="1" applyAlignment="1">
      <alignment horizontal="right"/>
    </xf>
    <xf numFmtId="171" fontId="25" fillId="0" borderId="4" xfId="2" applyNumberFormat="1" applyFont="1" applyFill="1" applyBorder="1"/>
    <xf numFmtId="166" fontId="25" fillId="0" borderId="0" xfId="0" applyNumberFormat="1" applyFont="1" applyFill="1"/>
    <xf numFmtId="166" fontId="14" fillId="0" borderId="0" xfId="0" applyNumberFormat="1" applyFont="1" applyFill="1"/>
    <xf numFmtId="171" fontId="25" fillId="0" borderId="0" xfId="2" applyNumberFormat="1" applyFont="1" applyFill="1"/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145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CC99"/>
      <color rgb="FF857501"/>
      <color rgb="FFFFF0D1"/>
      <color rgb="FFAB9701"/>
      <color rgb="FFFFF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EBITDA vs 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'Formula Audit'!$B$35</c:f>
              <c:strCache>
                <c:ptCount val="1"/>
                <c:pt idx="0">
                  <c:v>EBITDA (Operating)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'Formula Audit'!$C$31:$L$31</c:f>
              <c:numCache>
                <c:formatCode>#;\(#\);;@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'Formula Audit'!$C$35:$L$35</c:f>
              <c:numCache>
                <c:formatCode>#,##0_);\(#,##0\);;@</c:formatCode>
                <c:ptCount val="10"/>
                <c:pt idx="0">
                  <c:v>0</c:v>
                </c:pt>
                <c:pt idx="1">
                  <c:v>-92884</c:v>
                </c:pt>
                <c:pt idx="2">
                  <c:v>-92884</c:v>
                </c:pt>
                <c:pt idx="3">
                  <c:v>-92884</c:v>
                </c:pt>
                <c:pt idx="4">
                  <c:v>-92884</c:v>
                </c:pt>
                <c:pt idx="5">
                  <c:v>-92884</c:v>
                </c:pt>
                <c:pt idx="6">
                  <c:v>-92884</c:v>
                </c:pt>
                <c:pt idx="7">
                  <c:v>-92884</c:v>
                </c:pt>
                <c:pt idx="8">
                  <c:v>-92884</c:v>
                </c:pt>
                <c:pt idx="9">
                  <c:v>-92884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C-461E-8AF6-EC3E1E40D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'Formula Audit'!$B$37</c:f>
              <c:strCache>
                <c:ptCount val="1"/>
                <c:pt idx="0">
                  <c:v>EV / EBITDA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'Formula Audit'!$C$31:$L$31</c:f>
              <c:numCache>
                <c:formatCode>#;\(#\);;@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'Formula Audit'!$C$37:$L$37</c:f>
              <c:numCache>
                <c:formatCode>#,##0.0;\(#,##0.0\);;@</c:formatCode>
                <c:ptCount val="10"/>
                <c:pt idx="0">
                  <c:v>4.4857167949276082</c:v>
                </c:pt>
                <c:pt idx="1">
                  <c:v>6.0830223235953005</c:v>
                </c:pt>
                <c:pt idx="2">
                  <c:v>4.3211409288458134</c:v>
                </c:pt>
                <c:pt idx="3">
                  <c:v>3.4504693947477723</c:v>
                </c:pt>
                <c:pt idx="4">
                  <c:v>3.1496942035330879</c:v>
                </c:pt>
                <c:pt idx="5">
                  <c:v>2.6670610668935444</c:v>
                </c:pt>
                <c:pt idx="6">
                  <c:v>2.4968963671472455</c:v>
                </c:pt>
                <c:pt idx="7">
                  <c:v>2.2009771628889641</c:v>
                </c:pt>
                <c:pt idx="8">
                  <c:v>2.120472042500154</c:v>
                </c:pt>
                <c:pt idx="9">
                  <c:v>2.0044903335448234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8C-461E-8AF6-EC3E1E40D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(#\)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(#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&amp; EV/Revenue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'Formula Audit'!$B$34</c:f>
              <c:strCache>
                <c:ptCount val="1"/>
                <c:pt idx="0">
                  <c:v>Revenue (Net)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'Formula Audit'!$C$31:$L$31</c:f>
              <c:numCache>
                <c:formatCode>#;\(#\);;@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'Formula Audit'!$C$34:$L$34</c:f>
              <c:numCache>
                <c:formatCode>#,##0_);\(#,##0\);;@</c:formatCode>
                <c:ptCount val="10"/>
                <c:pt idx="0">
                  <c:v>402045.22406400001</c:v>
                </c:pt>
                <c:pt idx="1">
                  <c:v>428989.89293554518</c:v>
                </c:pt>
                <c:pt idx="2">
                  <c:v>452948.5494661025</c:v>
                </c:pt>
                <c:pt idx="3">
                  <c:v>473185.83770769846</c:v>
                </c:pt>
                <c:pt idx="4">
                  <c:v>489042.29512928339</c:v>
                </c:pt>
                <c:pt idx="5">
                  <c:v>505430.1024390657</c:v>
                </c:pt>
                <c:pt idx="6">
                  <c:v>516721.41092755436</c:v>
                </c:pt>
                <c:pt idx="7">
                  <c:v>528264.96724767599</c:v>
                </c:pt>
                <c:pt idx="8">
                  <c:v>540066.40661598905</c:v>
                </c:pt>
                <c:pt idx="9">
                  <c:v>552131.49013979023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D6-4CD6-A09E-69B606977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'Formula Audit'!$B$36</c:f>
              <c:strCache>
                <c:ptCount val="1"/>
                <c:pt idx="0">
                  <c:v>EV / Revenue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'Formula Audit'!$C$31:$L$31</c:f>
              <c:numCache>
                <c:formatCode>#;\(#\);;@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'Formula Audit'!$C$36:$L$36</c:f>
              <c:numCache>
                <c:formatCode>#,##0.0;\(#,##0.0\);;@</c:formatCode>
                <c:ptCount val="10"/>
                <c:pt idx="0">
                  <c:v>0.72698648985487402</c:v>
                </c:pt>
                <c:pt idx="1">
                  <c:v>0.68132478414618125</c:v>
                </c:pt>
                <c:pt idx="2">
                  <c:v>0.64528619541826637</c:v>
                </c:pt>
                <c:pt idx="3">
                  <c:v>0.61768849131481196</c:v>
                </c:pt>
                <c:pt idx="4">
                  <c:v>0.59766087538080137</c:v>
                </c:pt>
                <c:pt idx="5">
                  <c:v>0.57828262462946789</c:v>
                </c:pt>
                <c:pt idx="6">
                  <c:v>0.56564609095747787</c:v>
                </c:pt>
                <c:pt idx="7">
                  <c:v>0.55328568867253336</c:v>
                </c:pt>
                <c:pt idx="8">
                  <c:v>0.54119538379847554</c:v>
                </c:pt>
                <c:pt idx="9">
                  <c:v>0.52936927421256674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D6-4CD6-A09E-69B606977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(#\)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#,##0.0;\(#,##0.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(#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Operating Expense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'Forecast Model'!$D$230</c:f>
              <c:strCache>
                <c:ptCount val="1"/>
                <c:pt idx="0">
                  <c:v>Salaries &amp; Benefits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Model'!$H$230:$Q$230</c:f>
              <c:numCache>
                <c:formatCode>#,##0_);\(#,##0\);;@</c:formatCode>
                <c:ptCount val="10"/>
                <c:pt idx="0">
                  <c:v>58749</c:v>
                </c:pt>
                <c:pt idx="1">
                  <c:v>58749</c:v>
                </c:pt>
                <c:pt idx="2">
                  <c:v>58749</c:v>
                </c:pt>
                <c:pt idx="3">
                  <c:v>58749</c:v>
                </c:pt>
                <c:pt idx="4">
                  <c:v>58749</c:v>
                </c:pt>
                <c:pt idx="5">
                  <c:v>58749</c:v>
                </c:pt>
                <c:pt idx="6">
                  <c:v>58749</c:v>
                </c:pt>
                <c:pt idx="7">
                  <c:v>58749</c:v>
                </c:pt>
                <c:pt idx="8">
                  <c:v>58749</c:v>
                </c:pt>
                <c:pt idx="9">
                  <c:v>58749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C-44A8-A347-2B4B7143842F}"/>
            </c:ext>
          </c:extLst>
        </c:ser>
        <c:ser>
          <c:idx val="1"/>
          <c:order val="1"/>
          <c:tx>
            <c:strRef>
              <c:f>'Forecast Model'!$D$231</c:f>
              <c:strCache>
                <c:ptCount val="1"/>
                <c:pt idx="0">
                  <c:v>Sales &amp; Marketing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Model'!$H$231:$Q$231</c:f>
              <c:numCache>
                <c:formatCode>#,##0_);\(#,##0\);;@</c:formatCode>
                <c:ptCount val="10"/>
                <c:pt idx="0">
                  <c:v>18330.849945974016</c:v>
                </c:pt>
                <c:pt idx="1">
                  <c:v>19559.365178503249</c:v>
                </c:pt>
                <c:pt idx="2">
                  <c:v>18070.382380950159</c:v>
                </c:pt>
                <c:pt idx="3">
                  <c:v>18877.748995348629</c:v>
                </c:pt>
                <c:pt idx="4">
                  <c:v>19510.342364182761</c:v>
                </c:pt>
                <c:pt idx="5">
                  <c:v>20164.133936806527</c:v>
                </c:pt>
                <c:pt idx="6">
                  <c:v>17669.288646667723</c:v>
                </c:pt>
                <c:pt idx="7">
                  <c:v>18064.020555034283</c:v>
                </c:pt>
                <c:pt idx="8">
                  <c:v>18467.570774233747</c:v>
                </c:pt>
                <c:pt idx="9">
                  <c:v>18880.136305330128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C-44A8-A347-2B4B7143842F}"/>
            </c:ext>
          </c:extLst>
        </c:ser>
        <c:ser>
          <c:idx val="2"/>
          <c:order val="2"/>
          <c:tx>
            <c:strRef>
              <c:f>'Forecast Model'!$D$232</c:f>
              <c:strCache>
                <c:ptCount val="1"/>
                <c:pt idx="0">
                  <c:v>General &amp; Administrative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Model'!$H$232:$Q$232</c:f>
              <c:numCache>
                <c:formatCode>#,##0_);\(#,##0\);;@</c:formatCode>
                <c:ptCount val="10"/>
                <c:pt idx="0">
                  <c:v>34134.999999999993</c:v>
                </c:pt>
                <c:pt idx="1">
                  <c:v>34135</c:v>
                </c:pt>
                <c:pt idx="2">
                  <c:v>34135</c:v>
                </c:pt>
                <c:pt idx="3">
                  <c:v>34135</c:v>
                </c:pt>
                <c:pt idx="4">
                  <c:v>34135</c:v>
                </c:pt>
                <c:pt idx="5">
                  <c:v>34135</c:v>
                </c:pt>
                <c:pt idx="6">
                  <c:v>34135</c:v>
                </c:pt>
                <c:pt idx="7">
                  <c:v>34135</c:v>
                </c:pt>
                <c:pt idx="8">
                  <c:v>34135</c:v>
                </c:pt>
                <c:pt idx="9">
                  <c:v>34135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C-44A8-A347-2B4B7143842F}"/>
            </c:ext>
          </c:extLst>
        </c:ser>
        <c:ser>
          <c:idx val="3"/>
          <c:order val="3"/>
          <c:tx>
            <c:strRef>
              <c:f>'Forecast Model'!$D$233</c:f>
              <c:strCache>
                <c:ptCount val="1"/>
                <c:pt idx="0">
                  <c:v>Card Processing Fees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Model'!$H$233:$Q$233</c:f>
              <c:numCache>
                <c:formatCode>#,##0_);\(#,##0\);;@</c:formatCode>
                <c:ptCount val="10"/>
                <c:pt idx="0">
                  <c:v>2836.027010547456</c:v>
                </c:pt>
                <c:pt idx="1">
                  <c:v>3026.0947047673358</c:v>
                </c:pt>
                <c:pt idx="2">
                  <c:v>3195.099067933887</c:v>
                </c:pt>
                <c:pt idx="3">
                  <c:v>3337.8528991901053</c:v>
                </c:pt>
                <c:pt idx="4">
                  <c:v>3449.7043498419653</c:v>
                </c:pt>
                <c:pt idx="5">
                  <c:v>3565.3039426051696</c:v>
                </c:pt>
                <c:pt idx="6">
                  <c:v>3644.9528326829686</c:v>
                </c:pt>
                <c:pt idx="7">
                  <c:v>3726.3810789651066</c:v>
                </c:pt>
                <c:pt idx="8">
                  <c:v>3809.6284322691868</c:v>
                </c:pt>
                <c:pt idx="9">
                  <c:v>3894.7355314460806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2C-44A8-A347-2B4B7143842F}"/>
            </c:ext>
          </c:extLst>
        </c:ser>
        <c:ser>
          <c:idx val="4"/>
          <c:order val="4"/>
          <c:tx>
            <c:strRef>
              <c:f>'Forecast Model'!$D$234</c:f>
              <c:strCache>
                <c:ptCount val="1"/>
                <c:pt idx="0">
                  <c:v>Depreciation &amp; Amortization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Model'!$H$234:$Q$234</c:f>
              <c:numCache>
                <c:formatCode>#,##0_);\(#,##0\);;@</c:formatCode>
                <c:ptCount val="10"/>
                <c:pt idx="0">
                  <c:v>8660.0891640000009</c:v>
                </c:pt>
                <c:pt idx="1">
                  <c:v>8684.5087070062164</c:v>
                </c:pt>
                <c:pt idx="2">
                  <c:v>9421.723582304121</c:v>
                </c:pt>
                <c:pt idx="3">
                  <c:v>9853.350359138165</c:v>
                </c:pt>
                <c:pt idx="4">
                  <c:v>11190.022454319289</c:v>
                </c:pt>
                <c:pt idx="5">
                  <c:v>13056.997714622221</c:v>
                </c:pt>
                <c:pt idx="6">
                  <c:v>13065.703518950162</c:v>
                </c:pt>
                <c:pt idx="7">
                  <c:v>11986.838664385497</c:v>
                </c:pt>
                <c:pt idx="8">
                  <c:v>10632.263984740413</c:v>
                </c:pt>
                <c:pt idx="9">
                  <c:v>9116.2658895777713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2C-44A8-A347-2B4B71438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805471"/>
        <c:axId val="631818911"/>
      </c:barChart>
      <c:catAx>
        <c:axId val="631805471"/>
        <c:scaling>
          <c:orientation val="minMax"/>
        </c:scaling>
        <c:delete val="0"/>
        <c:axPos val="b"/>
        <c:numFmt formatCode="0;\(0\)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18911"/>
        <c:crosses val="autoZero"/>
        <c:auto val="1"/>
        <c:lblAlgn val="ctr"/>
        <c:lblOffset val="100"/>
        <c:noMultiLvlLbl val="0"/>
      </c:catAx>
      <c:valAx>
        <c:axId val="631818911"/>
        <c:scaling>
          <c:orientation val="minMax"/>
        </c:scaling>
        <c:delete val="0"/>
        <c:axPos val="l"/>
        <c:numFmt formatCode="#,##0_);\(#,##0\)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0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76625639158757"/>
          <c:y val="0.88603562101332212"/>
          <c:w val="0.84658433730251281"/>
          <c:h val="0.11224687604674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31750">
              <a:solidFill>
                <a:schemeClr val="tx2">
                  <a:lumMod val="10000"/>
                  <a:lumOff val="90000"/>
                </a:schemeClr>
              </a:solidFill>
            </a:ln>
          </c:spPr>
          <c:dPt>
            <c:idx val="0"/>
            <c:bubble3D val="0"/>
            <c:spPr>
              <a:solidFill>
                <a:schemeClr val="accent2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DC-4E30-963D-CD5FE4ADC9F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C-4E30-963D-CD5FE4ADC9F5}"/>
              </c:ext>
            </c:extLst>
          </c:dPt>
          <c:val>
            <c:numRef>
              <c:f>'Formula Audit'!$D$271:$D$272</c:f>
              <c:numCache>
                <c:formatCode>#,##0_);\(#,##0\);;@</c:formatCode>
                <c:ptCount val="2"/>
                <c:pt idx="0" formatCode="#,##0.0;\(#,##0.0\);;@">
                  <c:v>9.5456540489772124</c:v>
                </c:pt>
                <c:pt idx="1">
                  <c:v>90.454345951022788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DC-4E30-963D-CD5FE4ADC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Cash Conversion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Outputs!$C$154</c:f>
              <c:strCache>
                <c:ptCount val="1"/>
                <c:pt idx="0">
                  <c:v>Inventory Days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Audit'!$C$229:$L$229</c:f>
              <c:numCache>
                <c:formatCode>#,##0_);\(#,##0\);;@</c:formatCode>
                <c:ptCount val="10"/>
                <c:pt idx="0">
                  <c:v>0</c:v>
                </c:pt>
                <c:pt idx="1">
                  <c:v>65.999999999999986</c:v>
                </c:pt>
                <c:pt idx="2">
                  <c:v>66</c:v>
                </c:pt>
                <c:pt idx="3">
                  <c:v>71</c:v>
                </c:pt>
                <c:pt idx="4">
                  <c:v>70.999999999999986</c:v>
                </c:pt>
                <c:pt idx="5">
                  <c:v>70.999999999999986</c:v>
                </c:pt>
                <c:pt idx="6">
                  <c:v>75.999999999999986</c:v>
                </c:pt>
                <c:pt idx="7">
                  <c:v>75.999999999999986</c:v>
                </c:pt>
                <c:pt idx="8">
                  <c:v>81.000000000000014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7-40F7-B7B9-578882BFABCF}"/>
            </c:ext>
          </c:extLst>
        </c:ser>
        <c:ser>
          <c:idx val="0"/>
          <c:order val="1"/>
          <c:tx>
            <c:strRef>
              <c:f>Outputs!$C$152</c:f>
              <c:strCache>
                <c:ptCount val="1"/>
                <c:pt idx="0">
                  <c:v>Receivable Days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Audit'!$C$227:$L$227</c:f>
              <c:numCache>
                <c:formatCode>#,##0_);\(#,##0\);;@</c:formatCode>
                <c:ptCount val="10"/>
                <c:pt idx="0">
                  <c:v>0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36.999999999999993</c:v>
                </c:pt>
                <c:pt idx="5">
                  <c:v>32</c:v>
                </c:pt>
                <c:pt idx="6">
                  <c:v>31.999999999999996</c:v>
                </c:pt>
                <c:pt idx="7">
                  <c:v>31.999999999999996</c:v>
                </c:pt>
                <c:pt idx="8">
                  <c:v>32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7-40F7-B7B9-578882BFABCF}"/>
            </c:ext>
          </c:extLst>
        </c:ser>
        <c:ser>
          <c:idx val="1"/>
          <c:order val="2"/>
          <c:tx>
            <c:strRef>
              <c:f>Outputs!$C$153</c:f>
              <c:strCache>
                <c:ptCount val="1"/>
                <c:pt idx="0">
                  <c:v>Payable Days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Audit'!$C$228:$L$228</c:f>
              <c:numCache>
                <c:formatCode>#,##0_);\(#,##0\);;@</c:formatCode>
                <c:ptCount val="10"/>
                <c:pt idx="0">
                  <c:v>0</c:v>
                </c:pt>
                <c:pt idx="1">
                  <c:v>52.999999999999993</c:v>
                </c:pt>
                <c:pt idx="2">
                  <c:v>52.999999999999993</c:v>
                </c:pt>
                <c:pt idx="3">
                  <c:v>53.000000000000007</c:v>
                </c:pt>
                <c:pt idx="4">
                  <c:v>53.000000000000007</c:v>
                </c:pt>
                <c:pt idx="5">
                  <c:v>48.000000000000007</c:v>
                </c:pt>
                <c:pt idx="6">
                  <c:v>48.000000000000007</c:v>
                </c:pt>
                <c:pt idx="7">
                  <c:v>48.000000000000007</c:v>
                </c:pt>
                <c:pt idx="8">
                  <c:v>48.000000000000007</c:v>
                </c:pt>
                <c:pt idx="9">
                  <c:v>48.000000000000007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7-40F7-B7B9-578882BFABC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Outputs!$C$155</c:f>
              <c:strCache>
                <c:ptCount val="1"/>
                <c:pt idx="0">
                  <c:v>Cash-to-Cash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Audit'!$C$230:$L$230</c:f>
              <c:numCache>
                <c:formatCode>#,##0_);\(#,##0\);;@</c:formatCode>
                <c:ptCount val="10"/>
                <c:pt idx="0">
                  <c:v>0</c:v>
                </c:pt>
                <c:pt idx="1">
                  <c:v>49.999999999999993</c:v>
                </c:pt>
                <c:pt idx="2">
                  <c:v>50.000000000000007</c:v>
                </c:pt>
                <c:pt idx="3">
                  <c:v>54.999999999999993</c:v>
                </c:pt>
                <c:pt idx="4">
                  <c:v>54.999999999999964</c:v>
                </c:pt>
                <c:pt idx="5">
                  <c:v>54.999999999999979</c:v>
                </c:pt>
                <c:pt idx="6">
                  <c:v>59.999999999999979</c:v>
                </c:pt>
                <c:pt idx="7">
                  <c:v>59.999999999999979</c:v>
                </c:pt>
                <c:pt idx="8">
                  <c:v>65</c:v>
                </c:pt>
                <c:pt idx="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37-40F7-B7B9-578882BFAB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(0\)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1"/>
        <c:axPos val="l"/>
        <c:numFmt formatCode="#,##0_);\(#,##0\);;@" sourceLinked="1"/>
        <c:majorTickMark val="none"/>
        <c:minorTickMark val="none"/>
        <c:tickLblPos val="nextTo"/>
        <c:crossAx val="8001593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Audit'!$B$274</c:f>
              <c:strCache>
                <c:ptCount val="1"/>
                <c:pt idx="0">
                  <c:v>Gross Income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57-4089-96D6-92BEA6B59EFB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57-4089-96D6-92BEA6B59EF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57-4089-96D6-92BEA6B59EFB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Audit'!$D$275:$D$277</c:f>
              <c:numCache>
                <c:formatCode>#,##0_);\(#,##0\);;@</c:formatCode>
                <c:ptCount val="3"/>
                <c:pt idx="0" formatCode="#,##0.0;\(#,##0.0\);;@">
                  <c:v>44.574369739491566</c:v>
                </c:pt>
                <c:pt idx="1">
                  <c:v>55.425630260508434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57-4089-96D6-92BEA6B59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537728998673209"/>
          <c:y val="0.58426920344120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Audit'!$C$274</c:f>
              <c:strCache>
                <c:ptCount val="1"/>
                <c:pt idx="0">
                  <c:v>44.6%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6C-43A2-A73B-FADB889DDC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6C-43A2-A73B-FADB889DDCC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6C-43A2-A73B-FADB889DDCC2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Audit'!$E$275:$E$277</c:f>
              <c:numCache>
                <c:formatCode>#,##0_);\(#,##0\);;@</c:formatCode>
                <c:ptCount val="3"/>
                <c:pt idx="0" formatCode="#,##0.0;\(#,##0.0\);;@">
                  <c:v>44.574369739491566</c:v>
                </c:pt>
                <c:pt idx="1">
                  <c:v>2</c:v>
                </c:pt>
                <c:pt idx="2">
                  <c:v>153.42563026050843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6C-43A2-A73B-FADB889D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Audit'!$B$278</c:f>
              <c:strCache>
                <c:ptCount val="1"/>
                <c:pt idx="0">
                  <c:v>EBITDA Margin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9F-49E6-90CF-56705DBE69B6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9F-49E6-90CF-56705DBE69B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9F-49E6-90CF-56705DBE69B6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Audit'!$D$279:$D$281</c:f>
              <c:numCache>
                <c:formatCode>#,##0_);\(#,##0\);;@</c:formatCode>
                <c:ptCount val="3"/>
                <c:pt idx="0" formatCode="#,##0.0;\(#,##0.0\);;@">
                  <c:v>16.206696122165827</c:v>
                </c:pt>
                <c:pt idx="1">
                  <c:v>83.793303877834177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9F-49E6-90CF-56705DBE6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20420321047161"/>
          <c:y val="0.58426906860313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Audit'!$C$278</c:f>
              <c:strCache>
                <c:ptCount val="1"/>
                <c:pt idx="0">
                  <c:v>0 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9E-4576-B8F9-C8C184EBF7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9E-4576-B8F9-C8C184EBF74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9E-4576-B8F9-C8C184EBF74B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Audit'!$E$279:$E$281</c:f>
              <c:numCache>
                <c:formatCode>#,##0_);\(#,##0\);;@</c:formatCode>
                <c:ptCount val="3"/>
                <c:pt idx="0" formatCode="#,##0.0;\(#,##0.0\);;@">
                  <c:v>16.206696122165827</c:v>
                </c:pt>
                <c:pt idx="1">
                  <c:v>2</c:v>
                </c:pt>
                <c:pt idx="2">
                  <c:v>181.79330387783418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9E-4576-B8F9-C8C184EBF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Audit'!$B$282</c:f>
              <c:strCache>
                <c:ptCount val="1"/>
                <c:pt idx="0">
                  <c:v>Operating Income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6D-487B-A3CC-A3D52BE4A7E5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6D-487B-A3CC-A3D52BE4A7E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6D-487B-A3CC-A3D52BE4A7E5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Audit'!$D$283:$D$285</c:f>
              <c:numCache>
                <c:formatCode>#,##0_);\(#,##0\);;@</c:formatCode>
                <c:ptCount val="3"/>
                <c:pt idx="0" formatCode="#,##0.0;\(#,##0.0\);;@">
                  <c:v>14.052687407310049</c:v>
                </c:pt>
                <c:pt idx="1">
                  <c:v>85.947312592689954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D-487B-A3CC-A3D52BE4A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Audit'!$C$282</c:f>
              <c:strCache>
                <c:ptCount val="1"/>
                <c:pt idx="0">
                  <c:v>14.1%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D5-43D8-B4FA-C336CAA49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D5-43D8-B4FA-C336CAA49E2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D5-43D8-B4FA-C336CAA49E24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Audit'!$E$283:$E$285</c:f>
              <c:numCache>
                <c:formatCode>#,##0_);\(#,##0\);;@</c:formatCode>
                <c:ptCount val="3"/>
                <c:pt idx="0" formatCode="#,##0.0;\(#,##0.0\);;@">
                  <c:v>14.052687407310049</c:v>
                </c:pt>
                <c:pt idx="1">
                  <c:v>2</c:v>
                </c:pt>
                <c:pt idx="2">
                  <c:v>183.94731259268994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D5-43D8-B4FA-C336CAA49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'Formula Audit'!$B$322</c:f>
              <c:strCache>
                <c:ptCount val="1"/>
                <c:pt idx="0">
                  <c:v>Total Earnings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Audit'!$C$322:$L$322</c:f>
              <c:numCache>
                <c:formatCode>#,##0_);\(#,##0\);;@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3-4348-A4D7-1CF9E96F675F}"/>
            </c:ext>
          </c:extLst>
        </c:ser>
        <c:ser>
          <c:idx val="1"/>
          <c:order val="1"/>
          <c:tx>
            <c:strRef>
              <c:f>'Formula Audit'!$B$323</c:f>
              <c:strCache>
                <c:ptCount val="1"/>
                <c:pt idx="0">
                  <c:v>Total Expenditure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Audit'!$C$323:$L$323</c:f>
              <c:numCache>
                <c:formatCode>#,##0_);\(#,##0\);;@</c:formatCode>
                <c:ptCount val="10"/>
                <c:pt idx="0">
                  <c:v>0</c:v>
                </c:pt>
                <c:pt idx="1">
                  <c:v>-96498.173723</c:v>
                </c:pt>
                <c:pt idx="2">
                  <c:v>-99337.128644863202</c:v>
                </c:pt>
                <c:pt idx="3">
                  <c:v>-100999.28848938044</c:v>
                </c:pt>
                <c:pt idx="4">
                  <c:v>-103056.41677662793</c:v>
                </c:pt>
                <c:pt idx="5">
                  <c:v>-105345.20688963046</c:v>
                </c:pt>
                <c:pt idx="6">
                  <c:v>-105600.8781193615</c:v>
                </c:pt>
                <c:pt idx="7">
                  <c:v>-104666.60732295814</c:v>
                </c:pt>
                <c:pt idx="8">
                  <c:v>-103396.6900062675</c:v>
                </c:pt>
                <c:pt idx="9">
                  <c:v>-101930.25735793951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3-4348-A4D7-1CF9E96F6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849024"/>
        <c:axId val="1817561520"/>
      </c:barChart>
      <c:lineChart>
        <c:grouping val="standard"/>
        <c:varyColors val="0"/>
        <c:ser>
          <c:idx val="2"/>
          <c:order val="2"/>
          <c:tx>
            <c:strRef>
              <c:f>'Formula Audit'!$B$324</c:f>
              <c:strCache>
                <c:ptCount val="1"/>
                <c:pt idx="0">
                  <c:v>Operating Income</c:v>
                </c:pt>
              </c:strCache>
            </c:strRef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5000"/>
                </a:schemeClr>
              </a:solidFill>
              <a:ln w="9525">
                <a:solidFill>
                  <a:schemeClr val="accent4">
                    <a:tint val="65000"/>
                  </a:schemeClr>
                </a:solidFill>
              </a:ln>
              <a:effectLst/>
            </c:spPr>
          </c:marker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Audit'!$C$324:$L$324</c:f>
              <c:numCache>
                <c:formatCode>#,##0_);\(#,##0\);;@</c:formatCode>
                <c:ptCount val="10"/>
                <c:pt idx="0">
                  <c:v>0</c:v>
                </c:pt>
                <c:pt idx="1">
                  <c:v>-96498.173723</c:v>
                </c:pt>
                <c:pt idx="2">
                  <c:v>-99337.128644863202</c:v>
                </c:pt>
                <c:pt idx="3">
                  <c:v>-100999.28848938044</c:v>
                </c:pt>
                <c:pt idx="4">
                  <c:v>-103056.41677662793</c:v>
                </c:pt>
                <c:pt idx="5">
                  <c:v>-105345.20688963046</c:v>
                </c:pt>
                <c:pt idx="6">
                  <c:v>-105600.8781193615</c:v>
                </c:pt>
                <c:pt idx="7">
                  <c:v>-104666.60732295814</c:v>
                </c:pt>
                <c:pt idx="8">
                  <c:v>-103396.6900062675</c:v>
                </c:pt>
                <c:pt idx="9">
                  <c:v>-101930.25735793951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D3-4348-A4D7-1CF9E96F6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9024"/>
        <c:axId val="1817561520"/>
      </c:lineChart>
      <c:catAx>
        <c:axId val="1808849024"/>
        <c:scaling>
          <c:orientation val="minMax"/>
        </c:scaling>
        <c:delete val="0"/>
        <c:axPos val="b"/>
        <c:numFmt formatCode="0;\(0\)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61520"/>
        <c:crosses val="autoZero"/>
        <c:auto val="1"/>
        <c:lblAlgn val="ctr"/>
        <c:lblOffset val="100"/>
        <c:noMultiLvlLbl val="0"/>
      </c:catAx>
      <c:valAx>
        <c:axId val="1817561520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Model'!$C$301</c:f>
              <c:strCache>
                <c:ptCount val="1"/>
                <c:pt idx="0">
                  <c:v>Ending Cash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'Forecast Model'!$H$216:$Q$216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'Forecast Model'!$H$301:$Q$301</c:f>
              <c:numCache>
                <c:formatCode>#,##0_);\(#,##0\);;@</c:formatCode>
                <c:ptCount val="10"/>
                <c:pt idx="0">
                  <c:v>178578.55379479629</c:v>
                </c:pt>
                <c:pt idx="1">
                  <c:v>163839.58251429163</c:v>
                </c:pt>
                <c:pt idx="2">
                  <c:v>189931.21060877628</c:v>
                </c:pt>
                <c:pt idx="3">
                  <c:v>223641.76001467428</c:v>
                </c:pt>
                <c:pt idx="4">
                  <c:v>264213.03342238709</c:v>
                </c:pt>
                <c:pt idx="5">
                  <c:v>317061.07934972201</c:v>
                </c:pt>
                <c:pt idx="6">
                  <c:v>370368.59793910594</c:v>
                </c:pt>
                <c:pt idx="7">
                  <c:v>440597.53536700725</c:v>
                </c:pt>
                <c:pt idx="8">
                  <c:v>510650.55217872234</c:v>
                </c:pt>
                <c:pt idx="9">
                  <c:v>591162.37508667039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4-4228-97C0-98F9716E4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278704"/>
        <c:axId val="417302864"/>
      </c:lineChart>
      <c:catAx>
        <c:axId val="61278704"/>
        <c:scaling>
          <c:orientation val="minMax"/>
        </c:scaling>
        <c:delete val="0"/>
        <c:axPos val="b"/>
        <c:numFmt formatCode="0;\(0\);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02864"/>
        <c:crosses val="autoZero"/>
        <c:auto val="1"/>
        <c:lblAlgn val="ctr"/>
        <c:lblOffset val="100"/>
        <c:noMultiLvlLbl val="0"/>
      </c:catAx>
      <c:valAx>
        <c:axId val="4173028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Audit'!$B$286</c:f>
              <c:strCache>
                <c:ptCount val="1"/>
                <c:pt idx="0">
                  <c:v>Return on Shareholder Equity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1A-4BF6-ACC8-858AFB2B65CC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1A-4BF6-ACC8-858AFB2B65C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1A-4BF6-ACC8-858AFB2B65CC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Audit'!$D$287:$D$289</c:f>
              <c:numCache>
                <c:formatCode>#,##0_);\(#,##0\);;@</c:formatCode>
                <c:ptCount val="3"/>
                <c:pt idx="0" formatCode="#,##0.0;\(#,##0.0\);;@">
                  <c:v>30.592763530561861</c:v>
                </c:pt>
                <c:pt idx="1">
                  <c:v>69.407236469438146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1A-4BF6-ACC8-858AFB2B6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Audit'!$C$286</c:f>
              <c:strCache>
                <c:ptCount val="1"/>
                <c:pt idx="0">
                  <c:v>30.6%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E-4552-8248-C210D5955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E-4552-8248-C210D59554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E-4552-8248-C210D5955477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Audit'!$E$287:$E$289</c:f>
              <c:numCache>
                <c:formatCode>#,##0_);\(#,##0\);;@</c:formatCode>
                <c:ptCount val="3"/>
                <c:pt idx="0" formatCode="#,##0.0;\(#,##0.0\);;@">
                  <c:v>30.592763530561861</c:v>
                </c:pt>
                <c:pt idx="1">
                  <c:v>2</c:v>
                </c:pt>
                <c:pt idx="2">
                  <c:v>167.40723646943815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6E-4552-8248-C210D5955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'Formula Audit'!$B$290</c:f>
              <c:strCache>
                <c:ptCount val="1"/>
                <c:pt idx="0">
                  <c:v>Return on Total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C4-4947-996C-2ACACF4C92A4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C4-4947-996C-2ACACF4C92A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C4-4947-996C-2ACACF4C92A4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Audit'!$D$291:$D$293</c:f>
              <c:numCache>
                <c:formatCode>#,##0_);\(#,##0\);;@</c:formatCode>
                <c:ptCount val="3"/>
                <c:pt idx="0" formatCode="#,##0.0;\(#,##0.0\);;@">
                  <c:v>20.113072039231675</c:v>
                </c:pt>
                <c:pt idx="1">
                  <c:v>79.886927960768332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C4-4947-996C-2ACACF4C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Audit'!$C$290</c:f>
              <c:strCache>
                <c:ptCount val="1"/>
                <c:pt idx="0">
                  <c:v>20.1%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01-4985-9FA4-96A80090C1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01-4985-9FA4-96A80090C19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801-4985-9FA4-96A80090C199}"/>
              </c:ext>
            </c:extLst>
          </c:dPt>
          <c:cat>
            <c:numRef>
              <c:f>'Formula Audit'!$F$275:$F$277</c:f>
              <c:numCache>
                <c:formatCode>#,##0;\(#,##0\);;@</c:formatCode>
                <c:ptCount val="3"/>
              </c:numCache>
            </c:numRef>
          </c:cat>
          <c:val>
            <c:numRef>
              <c:f>'Formula Audit'!$E$291:$E$293</c:f>
              <c:numCache>
                <c:formatCode>#,##0_);\(#,##0\);;@</c:formatCode>
                <c:ptCount val="3"/>
                <c:pt idx="0" formatCode="#,##0.0;\(#,##0.0\);;@">
                  <c:v>20.113072039231675</c:v>
                </c:pt>
                <c:pt idx="1">
                  <c:v>2</c:v>
                </c:pt>
                <c:pt idx="2">
                  <c:v>177.88692796076833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01-4985-9FA4-96A80090C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'Formula Audit'!$F$156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'Formula Audit'!$F$157:$F$160</c:f>
              <c:numCache>
                <c:formatCode>#,##0_);\(#,##0\);;@</c:formatCode>
                <c:ptCount val="4"/>
                <c:pt idx="0">
                  <c:v>32668.453368000002</c:v>
                </c:pt>
                <c:pt idx="1">
                  <c:v>18106.696175574296</c:v>
                </c:pt>
                <c:pt idx="2">
                  <c:v>10181.936163251798</c:v>
                </c:pt>
                <c:pt idx="3">
                  <c:v>1431.0564993430517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3-4049-86D6-328280F66C31}"/>
            </c:ext>
          </c:extLst>
        </c:ser>
        <c:ser>
          <c:idx val="3"/>
          <c:order val="3"/>
          <c:tx>
            <c:strRef>
              <c:f>'Formula Audit'!$G$156</c:f>
              <c:strCache>
                <c:ptCount val="1"/>
                <c:pt idx="0">
                  <c:v>Favorable Result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'Formula Audit'!$G$157:$G$160</c:f>
              <c:numCache>
                <c:formatCode>#,##0_);\(#,##0\);;@</c:formatCode>
                <c:ptCount val="4"/>
                <c:pt idx="0">
                  <c:v>7497.5466319999978</c:v>
                </c:pt>
                <c:pt idx="1">
                  <c:v>8530.3038244257041</c:v>
                </c:pt>
                <c:pt idx="2">
                  <c:v>443.06383674820245</c:v>
                </c:pt>
                <c:pt idx="3">
                  <c:v>668.94350065694834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3-4049-86D6-328280F66C31}"/>
            </c:ext>
          </c:extLst>
        </c:ser>
        <c:ser>
          <c:idx val="4"/>
          <c:order val="4"/>
          <c:tx>
            <c:strRef>
              <c:f>'Formula Audit'!$H$156</c:f>
              <c:strCache>
                <c:ptCount val="1"/>
                <c:pt idx="0">
                  <c:v>Unfavorable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'Formula Audit'!$H$157:$H$160</c:f>
              <c:numCache>
                <c:formatCode>#,##0_);\(#,##0\);;@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F3-4049-86D6-328280F6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5917808"/>
        <c:axId val="625933648"/>
      </c:barChart>
      <c:barChart>
        <c:barDir val="col"/>
        <c:grouping val="clustered"/>
        <c:varyColors val="0"/>
        <c:ser>
          <c:idx val="0"/>
          <c:order val="0"/>
          <c:tx>
            <c:strRef>
              <c:f>'Formula Audit'!$C$156</c:f>
              <c:strCache>
                <c:ptCount val="1"/>
                <c:pt idx="0">
                  <c:v>Actuals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Outputs!$D$124:$D$127</c:f>
              <c:strCache>
                <c:ptCount val="4"/>
                <c:pt idx="0">
                  <c:v>Revenue (Net)</c:v>
                </c:pt>
                <c:pt idx="1">
                  <c:v>Cost of Goods</c:v>
                </c:pt>
                <c:pt idx="2">
                  <c:v>Operating Expenditure</c:v>
                </c:pt>
                <c:pt idx="3">
                  <c:v>Interest &amp; Tax</c:v>
                </c:pt>
              </c:strCache>
            </c:strRef>
          </c:cat>
          <c:val>
            <c:numRef>
              <c:f>'Formula Audit'!$C$157:$C$160</c:f>
              <c:numCache>
                <c:formatCode>#,##0_);\(#,##0\);;@</c:formatCode>
                <c:ptCount val="4"/>
                <c:pt idx="0">
                  <c:v>40166</c:v>
                </c:pt>
                <c:pt idx="1">
                  <c:v>26637</c:v>
                </c:pt>
                <c:pt idx="2">
                  <c:v>10625</c:v>
                </c:pt>
                <c:pt idx="3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F3-4049-86D6-328280F66C31}"/>
            </c:ext>
          </c:extLst>
        </c:ser>
        <c:ser>
          <c:idx val="1"/>
          <c:order val="1"/>
          <c:tx>
            <c:strRef>
              <c:f>'Formula Audit'!$D$156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Outputs!$D$124:$D$127</c:f>
              <c:strCache>
                <c:ptCount val="4"/>
                <c:pt idx="0">
                  <c:v>Revenue (Net)</c:v>
                </c:pt>
                <c:pt idx="1">
                  <c:v>Cost of Goods</c:v>
                </c:pt>
                <c:pt idx="2">
                  <c:v>Operating Expenditure</c:v>
                </c:pt>
                <c:pt idx="3">
                  <c:v>Interest &amp; Tax</c:v>
                </c:pt>
              </c:strCache>
            </c:strRef>
          </c:cat>
          <c:val>
            <c:numRef>
              <c:f>'Formula Audit'!$D$157:$D$160</c:f>
              <c:numCache>
                <c:formatCode>#,##0_);\(#,##0\);;@</c:formatCode>
                <c:ptCount val="4"/>
                <c:pt idx="0">
                  <c:v>32668.453368000002</c:v>
                </c:pt>
                <c:pt idx="1">
                  <c:v>18106.696175574296</c:v>
                </c:pt>
                <c:pt idx="2">
                  <c:v>10181.936163251798</c:v>
                </c:pt>
                <c:pt idx="3">
                  <c:v>1431.0564993430517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F3-4049-86D6-328280F6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0440656"/>
        <c:axId val="840459376"/>
      </c:barChart>
      <c:catAx>
        <c:axId val="6259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33648"/>
        <c:crosses val="autoZero"/>
        <c:auto val="1"/>
        <c:lblAlgn val="ctr"/>
        <c:lblOffset val="100"/>
        <c:noMultiLvlLbl val="0"/>
      </c:catAx>
      <c:valAx>
        <c:axId val="625933648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17808"/>
        <c:crosses val="autoZero"/>
        <c:crossBetween val="between"/>
      </c:valAx>
      <c:valAx>
        <c:axId val="840459376"/>
        <c:scaling>
          <c:orientation val="minMax"/>
        </c:scaling>
        <c:delete val="0"/>
        <c:axPos val="r"/>
        <c:numFmt formatCode="#,##0_);\(#,##0\)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0656"/>
        <c:crosses val="max"/>
        <c:crossBetween val="between"/>
      </c:valAx>
      <c:catAx>
        <c:axId val="84044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045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'Formula Audit'!$C$206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31-4273-B396-2E7DF3A2EAE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31-4273-B396-2E7DF3A2EAE0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31-4273-B396-2E7DF3A2EAE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31-4273-B396-2E7DF3A2EAE0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Audit'!$C$207:$C$210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31-4273-B396-2E7DF3A2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69627291540375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Audit'!$D$206</c:f>
              <c:strCache>
                <c:ptCount val="1"/>
                <c:pt idx="0">
                  <c:v>Gross Income Margin</c:v>
                </c:pt>
              </c:strCache>
            </c:strRef>
          </c:tx>
          <c:spPr>
            <a:ln>
              <a:noFill/>
            </a:ln>
          </c:spPr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14-44D3-A37D-BF1F7127D36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14-44D3-A37D-BF1F7127D36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14-44D3-A37D-BF1F7127D366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14-44D3-A37D-BF1F7127D366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Audit'!$D$207:$D$210</c:f>
              <c:numCache>
                <c:formatCode>#,##0_);\(#,##0\);;@</c:formatCode>
                <c:ptCount val="4"/>
                <c:pt idx="0" formatCode="_-* #,##0.00_-;\-* #,##0.00_-;_-* &quot;-&quot;_-;_-@_-">
                  <c:v>44.574369739491566</c:v>
                </c:pt>
                <c:pt idx="1">
                  <c:v>2</c:v>
                </c:pt>
                <c:pt idx="2" formatCode="#,##0.00;\(#,##0.00\);;@">
                  <c:v>53.425630260508434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14-44D3-A37D-BF1F7127D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'Formula Audit'!$C$207:$C$210</c:f>
              <c:strCach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12-4D29-B6B3-0E9804B9AC8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12-4D29-B6B3-0E9804B9AC8B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12-4D29-B6B3-0E9804B9AC8B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12-4D29-B6B3-0E9804B9AC8B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Audit'!$E$207:$E$210</c:f>
              <c:numCache>
                <c:formatCode>#,##0_);\(#,##0\);;@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12-4D29-B6B3-0E9804B9A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1908869876663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Audit'!$F$206</c:f>
              <c:strCache>
                <c:ptCount val="1"/>
                <c:pt idx="0">
                  <c:v>Operating Income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94-4BF5-926D-713203277EF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94-4BF5-926D-713203277EF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94-4BF5-926D-713203277EF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94-4BF5-926D-713203277EF1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Audit'!$F$207:$F$210</c:f>
              <c:numCache>
                <c:formatCode>#,##0_);\(#,##0\);;@</c:formatCode>
                <c:ptCount val="4"/>
                <c:pt idx="0">
                  <c:v>14.052687407310049</c:v>
                </c:pt>
                <c:pt idx="1">
                  <c:v>2</c:v>
                </c:pt>
                <c:pt idx="2" formatCode="#,##0.00;\(#,##0.00\);;@">
                  <c:v>83.947312592689954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94-4BF5-926D-713203277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F-43C3-90AC-85AEB317645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F-43C3-90AC-85AEB317645B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DF-43C3-90AC-85AEB317645B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DF-43C3-90AC-85AEB317645B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Audit'!$G$207:$G$210</c:f>
              <c:numCache>
                <c:formatCode>#,##0_);\(#,##0\);;@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DF-43C3-90AC-85AEB317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92878290843907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Audit'!$H$206</c:f>
              <c:strCache>
                <c:ptCount val="1"/>
                <c:pt idx="0">
                  <c:v>Net Profit Margin Rate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3C-4FE9-B891-CB062E3F43A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3C-4FE9-B891-CB062E3F43A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3C-4FE9-B891-CB062E3F43A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3C-4FE9-B891-CB062E3F43A8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Audit'!$H$207:$H$210</c:f>
              <c:numCache>
                <c:formatCode>#,##0_);\(#,##0\);;@</c:formatCode>
                <c:ptCount val="4"/>
                <c:pt idx="0">
                  <c:v>9.5456540489772124</c:v>
                </c:pt>
                <c:pt idx="1">
                  <c:v>2</c:v>
                </c:pt>
                <c:pt idx="2" formatCode="#,##0.00;\(#,##0.00\);;@">
                  <c:v>88.454345951022788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3C-4FE9-B891-CB062E3F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B7-4B40-81EA-92391BEA9AB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B7-4B40-81EA-92391BEA9AB9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B7-4B40-81EA-92391BEA9AB9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B7-4B40-81EA-92391BEA9AB9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Audit'!$I$207:$I$210</c:f>
              <c:numCache>
                <c:formatCode>#,##0_);\(#,##0\);;@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B7-4B40-81EA-92391BEA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635608007316369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Audit'!$J$206</c:f>
              <c:strCache>
                <c:ptCount val="1"/>
                <c:pt idx="0">
                  <c:v>Working Capital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9A-4A6A-ADF7-AE2A0EB1B80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9A-4A6A-ADF7-AE2A0EB1B80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9A-4A6A-ADF7-AE2A0EB1B80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9A-4A6A-ADF7-AE2A0EB1B80C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Audit'!$J$207:$J$210</c:f>
              <c:numCache>
                <c:formatCode>#,##0_);\(#,##0\);;@</c:formatCode>
                <c:ptCount val="4"/>
                <c:pt idx="0">
                  <c:v>0</c:v>
                </c:pt>
                <c:pt idx="1">
                  <c:v>2</c:v>
                </c:pt>
                <c:pt idx="2" formatCode="#,##0.00;\(#,##0.00\);;@">
                  <c:v>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9A-4A6A-ADF7-AE2A0EB1B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13-4D85-8ACC-39EE6366CB2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13-4D85-8ACC-39EE6366CB2E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13-4D85-8ACC-39EE6366CB2E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13-4D85-8ACC-39EE6366CB2E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Audit'!$K$207:$K$210</c:f>
              <c:numCache>
                <c:formatCode>#,##0_);\(#,##0\);;@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13-4D85-8ACC-39EE6366C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9652199641062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Audit'!$L$206</c:f>
              <c:strCache>
                <c:ptCount val="1"/>
                <c:pt idx="0">
                  <c:v>Acid-Test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5-42C6-B167-D50FB5C7566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5-42C6-B167-D50FB5C7566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15-42C6-B167-D50FB5C75662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15-42C6-B167-D50FB5C75662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Audit'!$L$207:$L$210</c:f>
              <c:numCache>
                <c:formatCode>#,##0_);\(#,##0\);;@</c:formatCode>
                <c:ptCount val="4"/>
                <c:pt idx="0">
                  <c:v>0</c:v>
                </c:pt>
                <c:pt idx="1">
                  <c:v>2</c:v>
                </c:pt>
                <c:pt idx="2" formatCode="#,##0.00;\(#,##0.00\);;@">
                  <c:v>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15-42C6-B167-D50FB5C7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3-4621-A6F2-7A7098E21E8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13-4621-A6F2-7A7098E21E86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13-4621-A6F2-7A7098E21E86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13-4621-A6F2-7A7098E21E86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Audit'!$M$207:$M$210</c:f>
              <c:numCache>
                <c:formatCode>#,##0_);\(#,##0\);;@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13-4621-A6F2-7A7098E21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51281590753453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'Formula Audit'!$N$206</c:f>
              <c:strCache>
                <c:ptCount val="1"/>
                <c:pt idx="0">
                  <c:v>Operating Cash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48-45B3-BBDF-C4D55753601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48-45B3-BBDF-C4D55753601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48-45B3-BBDF-C4D55753601E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48-45B3-BBDF-C4D55753601E}"/>
              </c:ext>
            </c:extLst>
          </c:dPt>
          <c:cat>
            <c:strRef>
              <c:f>'Formula Audit'!$B$207:$B$210</c:f>
              <c:strCache>
                <c:ptCount val="4"/>
                <c:pt idx="0">
                  <c:v>Soft</c:v>
                </c:pt>
                <c:pt idx="1">
                  <c:v>Favorable</c:v>
                </c:pt>
                <c:pt idx="2">
                  <c:v>Robust</c:v>
                </c:pt>
                <c:pt idx="3">
                  <c:v>Total Amount</c:v>
                </c:pt>
              </c:strCache>
            </c:strRef>
          </c:cat>
          <c:val>
            <c:numRef>
              <c:f>'Formula Audit'!$N$207:$N$210</c:f>
              <c:numCache>
                <c:formatCode>#,##0_);\(#,##0\);;@</c:formatCode>
                <c:ptCount val="4"/>
                <c:pt idx="0">
                  <c:v>0</c:v>
                </c:pt>
                <c:pt idx="1">
                  <c:v>2</c:v>
                </c:pt>
                <c:pt idx="2" formatCode="#,##0.00;\(#,##0.00\);;@">
                  <c:v>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48-45B3-BBDF-C4D557536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Outputs!$C$154</c:f>
              <c:strCache>
                <c:ptCount val="1"/>
                <c:pt idx="0">
                  <c:v>Inventory Days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Audit'!$C$229:$L$229</c:f>
              <c:numCache>
                <c:formatCode>#,##0_);\(#,##0\);;@</c:formatCode>
                <c:ptCount val="10"/>
                <c:pt idx="0">
                  <c:v>0</c:v>
                </c:pt>
                <c:pt idx="1">
                  <c:v>65.999999999999986</c:v>
                </c:pt>
                <c:pt idx="2">
                  <c:v>66</c:v>
                </c:pt>
                <c:pt idx="3">
                  <c:v>71</c:v>
                </c:pt>
                <c:pt idx="4">
                  <c:v>70.999999999999986</c:v>
                </c:pt>
                <c:pt idx="5">
                  <c:v>70.999999999999986</c:v>
                </c:pt>
                <c:pt idx="6">
                  <c:v>75.999999999999986</c:v>
                </c:pt>
                <c:pt idx="7">
                  <c:v>75.999999999999986</c:v>
                </c:pt>
                <c:pt idx="8">
                  <c:v>81.000000000000014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E-4927-BF85-EB10D39B40F7}"/>
            </c:ext>
          </c:extLst>
        </c:ser>
        <c:ser>
          <c:idx val="0"/>
          <c:order val="1"/>
          <c:tx>
            <c:strRef>
              <c:f>Outputs!$C$152</c:f>
              <c:strCache>
                <c:ptCount val="1"/>
                <c:pt idx="0">
                  <c:v>Receivable Days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Audit'!$C$227:$L$227</c:f>
              <c:numCache>
                <c:formatCode>#,##0_);\(#,##0\);;@</c:formatCode>
                <c:ptCount val="10"/>
                <c:pt idx="0">
                  <c:v>0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36.999999999999993</c:v>
                </c:pt>
                <c:pt idx="5">
                  <c:v>32</c:v>
                </c:pt>
                <c:pt idx="6">
                  <c:v>31.999999999999996</c:v>
                </c:pt>
                <c:pt idx="7">
                  <c:v>31.999999999999996</c:v>
                </c:pt>
                <c:pt idx="8">
                  <c:v>32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E-4927-BF85-EB10D39B40F7}"/>
            </c:ext>
          </c:extLst>
        </c:ser>
        <c:ser>
          <c:idx val="1"/>
          <c:order val="2"/>
          <c:tx>
            <c:strRef>
              <c:f>Outputs!$C$153</c:f>
              <c:strCache>
                <c:ptCount val="1"/>
                <c:pt idx="0">
                  <c:v>Payable Days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Audit'!$C$228:$L$228</c:f>
              <c:numCache>
                <c:formatCode>#,##0_);\(#,##0\);;@</c:formatCode>
                <c:ptCount val="10"/>
                <c:pt idx="0">
                  <c:v>0</c:v>
                </c:pt>
                <c:pt idx="1">
                  <c:v>52.999999999999993</c:v>
                </c:pt>
                <c:pt idx="2">
                  <c:v>52.999999999999993</c:v>
                </c:pt>
                <c:pt idx="3">
                  <c:v>53.000000000000007</c:v>
                </c:pt>
                <c:pt idx="4">
                  <c:v>53.000000000000007</c:v>
                </c:pt>
                <c:pt idx="5">
                  <c:v>48.000000000000007</c:v>
                </c:pt>
                <c:pt idx="6">
                  <c:v>48.000000000000007</c:v>
                </c:pt>
                <c:pt idx="7">
                  <c:v>48.000000000000007</c:v>
                </c:pt>
                <c:pt idx="8">
                  <c:v>48.000000000000007</c:v>
                </c:pt>
                <c:pt idx="9">
                  <c:v>48.000000000000007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E-4927-BF85-EB10D39B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Outputs!$C$155</c:f>
              <c:strCache>
                <c:ptCount val="1"/>
                <c:pt idx="0">
                  <c:v>Cash-to-Cash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Audit'!$C$230:$L$230</c:f>
              <c:numCache>
                <c:formatCode>#,##0_);\(#,##0\);;@</c:formatCode>
                <c:ptCount val="10"/>
                <c:pt idx="0">
                  <c:v>0</c:v>
                </c:pt>
                <c:pt idx="1">
                  <c:v>49.999999999999993</c:v>
                </c:pt>
                <c:pt idx="2">
                  <c:v>50.000000000000007</c:v>
                </c:pt>
                <c:pt idx="3">
                  <c:v>54.999999999999993</c:v>
                </c:pt>
                <c:pt idx="4">
                  <c:v>54.999999999999964</c:v>
                </c:pt>
                <c:pt idx="5">
                  <c:v>54.999999999999979</c:v>
                </c:pt>
                <c:pt idx="6">
                  <c:v>59.999999999999979</c:v>
                </c:pt>
                <c:pt idx="7">
                  <c:v>59.999999999999979</c:v>
                </c:pt>
                <c:pt idx="8">
                  <c:v>65</c:v>
                </c:pt>
                <c:pt idx="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EE-4927-BF85-EB10D39B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(0\)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Outputs!$C$159</c:f>
              <c:strCache>
                <c:ptCount val="1"/>
                <c:pt idx="0">
                  <c:v>Equity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'Formula Audit'!$C$234:$L$234</c:f>
              <c:numCache>
                <c:formatCode>0.0%;\(0.0%\)</c:formatCode>
                <c:ptCount val="10"/>
                <c:pt idx="0">
                  <c:v>0.65744541251197908</c:v>
                </c:pt>
                <c:pt idx="1">
                  <c:v>0.55117011503413249</c:v>
                </c:pt>
                <c:pt idx="2">
                  <c:v>0.60881685621391757</c:v>
                </c:pt>
                <c:pt idx="3">
                  <c:v>0.66786963788879627</c:v>
                </c:pt>
                <c:pt idx="4">
                  <c:v>0.71671964939460564</c:v>
                </c:pt>
                <c:pt idx="5">
                  <c:v>0.76929894600300874</c:v>
                </c:pt>
                <c:pt idx="6">
                  <c:v>0.8053978941462917</c:v>
                </c:pt>
                <c:pt idx="7">
                  <c:v>0.83901895936814208</c:v>
                </c:pt>
                <c:pt idx="8">
                  <c:v>0.86423315755669772</c:v>
                </c:pt>
                <c:pt idx="9">
                  <c:v>0.88558276301381178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1-4C7C-A028-9E2246C87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tx>
            <c:strRef>
              <c:f>Outputs!$C$160</c:f>
              <c:strCache>
                <c:ptCount val="1"/>
                <c:pt idx="0">
                  <c:v>Borrowings-to-Assets Ratio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'Formula Audit'!$C$212:$L$212</c:f>
              <c:numCache>
                <c:formatCode>0;\(0\);;@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'Formula Audit'!$C$235:$L$235</c:f>
              <c:numCache>
                <c:formatCode>0.0%;\(0.0%\)</c:formatCode>
                <c:ptCount val="10"/>
                <c:pt idx="0">
                  <c:v>0.34255458748802114</c:v>
                </c:pt>
                <c:pt idx="1">
                  <c:v>0.22371806460434596</c:v>
                </c:pt>
                <c:pt idx="2">
                  <c:v>0.1823326590057617</c:v>
                </c:pt>
                <c:pt idx="3">
                  <c:v>0.1442913476761318</c:v>
                </c:pt>
                <c:pt idx="4">
                  <c:v>0.11291563853003024</c:v>
                </c:pt>
                <c:pt idx="5">
                  <c:v>8.7250258102849518E-2</c:v>
                </c:pt>
                <c:pt idx="6">
                  <c:v>6.5606466853221093E-2</c:v>
                </c:pt>
                <c:pt idx="7">
                  <c:v>4.7810036577599739E-2</c:v>
                </c:pt>
                <c:pt idx="8">
                  <c:v>3.3589243890083553E-2</c:v>
                </c:pt>
                <c:pt idx="9">
                  <c:v>2.2163419567676448E-2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1-4C7C-A028-9E2246C87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numFmt formatCode="0.0%;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'Valuation &amp; Breakeven'!$N$29:$O$29</c:f>
              <c:strCache>
                <c:ptCount val="2"/>
                <c:pt idx="0">
                  <c:v>1.2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Breakeven'!$P$29:$T$29</c:f>
              <c:numCache>
                <c:formatCode>#,##0_);\(#,##0\);;@</c:formatCode>
                <c:ptCount val="5"/>
                <c:pt idx="0">
                  <c:v>-679429.14806588087</c:v>
                </c:pt>
                <c:pt idx="1">
                  <c:v>-636892.29919291311</c:v>
                </c:pt>
                <c:pt idx="2">
                  <c:v>-597375.89228365733</c:v>
                </c:pt>
                <c:pt idx="3">
                  <c:v>-560622.80798865412</c:v>
                </c:pt>
                <c:pt idx="4">
                  <c:v>-526400.6886442157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6-43CC-8611-481CD3DEE912}"/>
            </c:ext>
          </c:extLst>
        </c:ser>
        <c:ser>
          <c:idx val="1"/>
          <c:order val="1"/>
          <c:tx>
            <c:strRef>
              <c:f>'Valuation &amp; Breakeven'!$N$30:$O$30</c:f>
              <c:strCache>
                <c:ptCount val="2"/>
                <c:pt idx="0">
                  <c:v>2.2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Breakeven'!$P$30:$T$30</c:f>
              <c:numCache>
                <c:formatCode>#,##0_);\(#,##0\);;@</c:formatCode>
                <c:ptCount val="5"/>
                <c:pt idx="0">
                  <c:v>-627809.1670388428</c:v>
                </c:pt>
                <c:pt idx="1">
                  <c:v>-585272.31816587481</c:v>
                </c:pt>
                <c:pt idx="2">
                  <c:v>-545755.91125661903</c:v>
                </c:pt>
                <c:pt idx="3">
                  <c:v>-509002.82696161588</c:v>
                </c:pt>
                <c:pt idx="4">
                  <c:v>-474780.70761717745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6-43CC-8611-481CD3DEE912}"/>
            </c:ext>
          </c:extLst>
        </c:ser>
        <c:ser>
          <c:idx val="2"/>
          <c:order val="2"/>
          <c:tx>
            <c:strRef>
              <c:f>'Valuation &amp; Breakeven'!$N$31:$O$31</c:f>
              <c:strCache>
                <c:ptCount val="2"/>
                <c:pt idx="0">
                  <c:v>3.2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Breakeven'!$P$31:$T$31</c:f>
              <c:numCache>
                <c:formatCode>#,##0_);\(#,##0\);;@</c:formatCode>
                <c:ptCount val="5"/>
                <c:pt idx="0">
                  <c:v>-584879.21342625958</c:v>
                </c:pt>
                <c:pt idx="1">
                  <c:v>-542342.36455329182</c:v>
                </c:pt>
                <c:pt idx="2">
                  <c:v>-502825.95764403598</c:v>
                </c:pt>
                <c:pt idx="3">
                  <c:v>-466072.87334903277</c:v>
                </c:pt>
                <c:pt idx="4">
                  <c:v>-431850.75400459435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6-43CC-8611-481CD3DEE912}"/>
            </c:ext>
          </c:extLst>
        </c:ser>
        <c:ser>
          <c:idx val="3"/>
          <c:order val="3"/>
          <c:tx>
            <c:strRef>
              <c:f>'Valuation &amp; Breakeven'!$N$32:$O$32</c:f>
              <c:strCache>
                <c:ptCount val="2"/>
                <c:pt idx="0">
                  <c:v>4.2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Breakeven'!$P$32:$T$32</c:f>
              <c:numCache>
                <c:formatCode>#,##0_);\(#,##0\);;@</c:formatCode>
                <c:ptCount val="5"/>
                <c:pt idx="0">
                  <c:v>-549471.87821197347</c:v>
                </c:pt>
                <c:pt idx="1">
                  <c:v>-506935.02933900553</c:v>
                </c:pt>
                <c:pt idx="2">
                  <c:v>-467418.62242974975</c:v>
                </c:pt>
                <c:pt idx="3">
                  <c:v>-430665.53813474654</c:v>
                </c:pt>
                <c:pt idx="4">
                  <c:v>-396443.41879030812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E6-43CC-8611-481CD3DEE912}"/>
            </c:ext>
          </c:extLst>
        </c:ser>
        <c:ser>
          <c:idx val="4"/>
          <c:order val="4"/>
          <c:tx>
            <c:strRef>
              <c:f>'Valuation &amp; Breakeven'!$N$33:$O$33</c:f>
              <c:strCache>
                <c:ptCount val="2"/>
                <c:pt idx="0">
                  <c:v>5.2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'Valuation &amp; Breakeven'!$P$28:$T$28</c:f>
              <c:numCache>
                <c:formatCode>0.0%;\(0.0%\)</c:formatCode>
                <c:ptCount val="5"/>
                <c:pt idx="0">
                  <c:v>6.4343053776308445E-2</c:v>
                </c:pt>
                <c:pt idx="1">
                  <c:v>7.4343053776308454E-2</c:v>
                </c:pt>
                <c:pt idx="2">
                  <c:v>8.4343053776308449E-2</c:v>
                </c:pt>
                <c:pt idx="3">
                  <c:v>9.4343053776308444E-2</c:v>
                </c:pt>
                <c:pt idx="4">
                  <c:v>0.10434305377630845</c:v>
                </c:pt>
              </c:numCache>
            </c:numRef>
          </c:cat>
          <c:val>
            <c:numRef>
              <c:f>'Valuation &amp; Breakeven'!$P$33:$T$33</c:f>
              <c:numCache>
                <c:formatCode>#,##0_);\(#,##0\);;@</c:formatCode>
                <c:ptCount val="5"/>
                <c:pt idx="0">
                  <c:v>-520570.4940980004</c:v>
                </c:pt>
                <c:pt idx="1">
                  <c:v>-478033.64522503252</c:v>
                </c:pt>
                <c:pt idx="2">
                  <c:v>-438517.23831577675</c:v>
                </c:pt>
                <c:pt idx="3">
                  <c:v>-401764.15402077354</c:v>
                </c:pt>
                <c:pt idx="4">
                  <c:v>-367542.03467633511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E6-43CC-8611-481CD3DE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587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alpha val="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2051621583"/>
        <c:axId val="2051626863"/>
      </c:lineChart>
      <c:catAx>
        <c:axId val="2051621583"/>
        <c:scaling>
          <c:orientation val="minMax"/>
        </c:scaling>
        <c:delete val="0"/>
        <c:axPos val="b"/>
        <c:numFmt formatCode="0.0%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6863"/>
        <c:crosses val="autoZero"/>
        <c:auto val="1"/>
        <c:lblAlgn val="ctr"/>
        <c:lblOffset val="100"/>
        <c:noMultiLvlLbl val="0"/>
      </c:catAx>
      <c:valAx>
        <c:axId val="2051626863"/>
        <c:scaling>
          <c:orientation val="minMax"/>
        </c:scaling>
        <c:delete val="0"/>
        <c:axPos val="l"/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Breakeven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'Formula Audit'!$C$187</c:f>
              <c:strCache>
                <c:ptCount val="1"/>
                <c:pt idx="0">
                  <c:v>Revenue (Net)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'Formula Audit'!$B$188:$B$203</c:f>
              <c:numCache>
                <c:formatCode>#,##0_);\(#,##0\);;@</c:formatCode>
                <c:ptCount val="16"/>
                <c:pt idx="0">
                  <c:v>0</c:v>
                </c:pt>
                <c:pt idx="1">
                  <c:v>110</c:v>
                </c:pt>
                <c:pt idx="2">
                  <c:v>210</c:v>
                </c:pt>
                <c:pt idx="3">
                  <c:v>320</c:v>
                </c:pt>
                <c:pt idx="4">
                  <c:v>420</c:v>
                </c:pt>
                <c:pt idx="5">
                  <c:v>520</c:v>
                </c:pt>
                <c:pt idx="6">
                  <c:v>630</c:v>
                </c:pt>
                <c:pt idx="7">
                  <c:v>730</c:v>
                </c:pt>
                <c:pt idx="8">
                  <c:v>830</c:v>
                </c:pt>
                <c:pt idx="9">
                  <c:v>940</c:v>
                </c:pt>
                <c:pt idx="10">
                  <c:v>1040</c:v>
                </c:pt>
                <c:pt idx="11">
                  <c:v>1140</c:v>
                </c:pt>
                <c:pt idx="12">
                  <c:v>1250</c:v>
                </c:pt>
                <c:pt idx="13">
                  <c:v>1350</c:v>
                </c:pt>
                <c:pt idx="14">
                  <c:v>1460</c:v>
                </c:pt>
                <c:pt idx="15">
                  <c:v>1553.5964919566491</c:v>
                </c:pt>
              </c:numCache>
            </c:numRef>
          </c:cat>
          <c:val>
            <c:numRef>
              <c:f>'Formula Audit'!$C$188:$C$203</c:f>
              <c:numCache>
                <c:formatCode>#,##0_);\(#,##0\);;@</c:formatCode>
                <c:ptCount val="16"/>
                <c:pt idx="0">
                  <c:v>0</c:v>
                </c:pt>
                <c:pt idx="1">
                  <c:v>32070.322441653374</c:v>
                </c:pt>
                <c:pt idx="2">
                  <c:v>61225.161024974623</c:v>
                </c:pt>
                <c:pt idx="3">
                  <c:v>93295.483466627993</c:v>
                </c:pt>
                <c:pt idx="4">
                  <c:v>122450.32204994925</c:v>
                </c:pt>
                <c:pt idx="5">
                  <c:v>151605.16063327048</c:v>
                </c:pt>
                <c:pt idx="6">
                  <c:v>183675.48307492386</c:v>
                </c:pt>
                <c:pt idx="7">
                  <c:v>212830.32165824511</c:v>
                </c:pt>
                <c:pt idx="8">
                  <c:v>241985.16024156637</c:v>
                </c:pt>
                <c:pt idx="9">
                  <c:v>274055.48268321971</c:v>
                </c:pt>
                <c:pt idx="10">
                  <c:v>303210.32126654097</c:v>
                </c:pt>
                <c:pt idx="11">
                  <c:v>332365.15984986222</c:v>
                </c:pt>
                <c:pt idx="12">
                  <c:v>364435.48229151563</c:v>
                </c:pt>
                <c:pt idx="13">
                  <c:v>393590.32087483682</c:v>
                </c:pt>
                <c:pt idx="14">
                  <c:v>425660.64331649023</c:v>
                </c:pt>
                <c:pt idx="15">
                  <c:v>452948.5494661025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E-4D5D-A0F8-D93B1125C6E9}"/>
            </c:ext>
          </c:extLst>
        </c:ser>
        <c:ser>
          <c:idx val="3"/>
          <c:order val="1"/>
          <c:tx>
            <c:strRef>
              <c:f>'Formula Audit'!$D$187</c:f>
              <c:strCache>
                <c:ptCount val="1"/>
                <c:pt idx="0">
                  <c:v>Fixed Cost Amount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58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'Formula Audit'!$B$188:$B$203</c:f>
              <c:numCache>
                <c:formatCode>#,##0_);\(#,##0\);;@</c:formatCode>
                <c:ptCount val="16"/>
                <c:pt idx="0">
                  <c:v>0</c:v>
                </c:pt>
                <c:pt idx="1">
                  <c:v>110</c:v>
                </c:pt>
                <c:pt idx="2">
                  <c:v>210</c:v>
                </c:pt>
                <c:pt idx="3">
                  <c:v>320</c:v>
                </c:pt>
                <c:pt idx="4">
                  <c:v>420</c:v>
                </c:pt>
                <c:pt idx="5">
                  <c:v>520</c:v>
                </c:pt>
                <c:pt idx="6">
                  <c:v>630</c:v>
                </c:pt>
                <c:pt idx="7">
                  <c:v>730</c:v>
                </c:pt>
                <c:pt idx="8">
                  <c:v>830</c:v>
                </c:pt>
                <c:pt idx="9">
                  <c:v>940</c:v>
                </c:pt>
                <c:pt idx="10">
                  <c:v>1040</c:v>
                </c:pt>
                <c:pt idx="11">
                  <c:v>1140</c:v>
                </c:pt>
                <c:pt idx="12">
                  <c:v>1250</c:v>
                </c:pt>
                <c:pt idx="13">
                  <c:v>1350</c:v>
                </c:pt>
                <c:pt idx="14">
                  <c:v>1460</c:v>
                </c:pt>
                <c:pt idx="15">
                  <c:v>1553.5964919566491</c:v>
                </c:pt>
              </c:numCache>
            </c:numRef>
          </c:cat>
          <c:val>
            <c:numRef>
              <c:f>'Formula Audit'!$D$188:$D$203</c:f>
              <c:numCache>
                <c:formatCode>#,##0_);\(#,##0\);;@</c:formatCode>
                <c:ptCount val="16"/>
                <c:pt idx="0">
                  <c:v>92884</c:v>
                </c:pt>
                <c:pt idx="1">
                  <c:v>92884</c:v>
                </c:pt>
                <c:pt idx="2">
                  <c:v>92884</c:v>
                </c:pt>
                <c:pt idx="3">
                  <c:v>92884</c:v>
                </c:pt>
                <c:pt idx="4">
                  <c:v>92884</c:v>
                </c:pt>
                <c:pt idx="5">
                  <c:v>92884</c:v>
                </c:pt>
                <c:pt idx="6">
                  <c:v>92884</c:v>
                </c:pt>
                <c:pt idx="7">
                  <c:v>92884</c:v>
                </c:pt>
                <c:pt idx="8">
                  <c:v>92884</c:v>
                </c:pt>
                <c:pt idx="9">
                  <c:v>92884</c:v>
                </c:pt>
                <c:pt idx="10">
                  <c:v>92884</c:v>
                </c:pt>
                <c:pt idx="11">
                  <c:v>92884</c:v>
                </c:pt>
                <c:pt idx="12">
                  <c:v>92884</c:v>
                </c:pt>
                <c:pt idx="13">
                  <c:v>92884</c:v>
                </c:pt>
                <c:pt idx="14">
                  <c:v>92884</c:v>
                </c:pt>
                <c:pt idx="15">
                  <c:v>92884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E-4D5D-A0F8-D93B1125C6E9}"/>
            </c:ext>
          </c:extLst>
        </c:ser>
        <c:ser>
          <c:idx val="2"/>
          <c:order val="2"/>
          <c:tx>
            <c:strRef>
              <c:f>'Formula Audit'!$E$187</c:f>
              <c:strCache>
                <c:ptCount val="1"/>
                <c:pt idx="0">
                  <c:v>Fixed + Variable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86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'Formula Audit'!$B$188:$B$203</c:f>
              <c:numCache>
                <c:formatCode>#,##0_);\(#,##0\);;@</c:formatCode>
                <c:ptCount val="16"/>
                <c:pt idx="0">
                  <c:v>0</c:v>
                </c:pt>
                <c:pt idx="1">
                  <c:v>110</c:v>
                </c:pt>
                <c:pt idx="2">
                  <c:v>210</c:v>
                </c:pt>
                <c:pt idx="3">
                  <c:v>320</c:v>
                </c:pt>
                <c:pt idx="4">
                  <c:v>420</c:v>
                </c:pt>
                <c:pt idx="5">
                  <c:v>520</c:v>
                </c:pt>
                <c:pt idx="6">
                  <c:v>630</c:v>
                </c:pt>
                <c:pt idx="7">
                  <c:v>730</c:v>
                </c:pt>
                <c:pt idx="8">
                  <c:v>830</c:v>
                </c:pt>
                <c:pt idx="9">
                  <c:v>940</c:v>
                </c:pt>
                <c:pt idx="10">
                  <c:v>1040</c:v>
                </c:pt>
                <c:pt idx="11">
                  <c:v>1140</c:v>
                </c:pt>
                <c:pt idx="12">
                  <c:v>1250</c:v>
                </c:pt>
                <c:pt idx="13">
                  <c:v>1350</c:v>
                </c:pt>
                <c:pt idx="14">
                  <c:v>1460</c:v>
                </c:pt>
                <c:pt idx="15">
                  <c:v>1553.5964919566491</c:v>
                </c:pt>
              </c:numCache>
            </c:numRef>
          </c:cat>
          <c:val>
            <c:numRef>
              <c:f>'Formula Audit'!$E$188:$E$203</c:f>
              <c:numCache>
                <c:formatCode>#,##0_);\(#,##0\);;@</c:formatCode>
                <c:ptCount val="16"/>
                <c:pt idx="0">
                  <c:v>92884</c:v>
                </c:pt>
                <c:pt idx="1">
                  <c:v>113014</c:v>
                </c:pt>
                <c:pt idx="2">
                  <c:v>133134</c:v>
                </c:pt>
                <c:pt idx="3">
                  <c:v>153254</c:v>
                </c:pt>
                <c:pt idx="4">
                  <c:v>173384</c:v>
                </c:pt>
                <c:pt idx="5">
                  <c:v>193504</c:v>
                </c:pt>
                <c:pt idx="6">
                  <c:v>213624</c:v>
                </c:pt>
                <c:pt idx="7">
                  <c:v>233754</c:v>
                </c:pt>
                <c:pt idx="8">
                  <c:v>253874</c:v>
                </c:pt>
                <c:pt idx="9">
                  <c:v>273994</c:v>
                </c:pt>
                <c:pt idx="10">
                  <c:v>294124</c:v>
                </c:pt>
                <c:pt idx="11">
                  <c:v>314244</c:v>
                </c:pt>
                <c:pt idx="12">
                  <c:v>334364</c:v>
                </c:pt>
                <c:pt idx="13">
                  <c:v>354494</c:v>
                </c:pt>
                <c:pt idx="14">
                  <c:v>374614</c:v>
                </c:pt>
                <c:pt idx="15">
                  <c:v>394730.39482687577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E-4D5D-A0F8-D93B1125C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3000">
                    <a:schemeClr val="accent1"/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639373216"/>
        <c:axId val="639375616"/>
      </c:lineChart>
      <c:catAx>
        <c:axId val="63937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Sales Volume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5616"/>
        <c:crosses val="autoZero"/>
        <c:auto val="1"/>
        <c:lblAlgn val="ctr"/>
        <c:lblOffset val="100"/>
        <c:noMultiLvlLbl val="0"/>
      </c:catAx>
      <c:valAx>
        <c:axId val="63937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</cx:strDim>
      <cx:numDim type="val">
        <cx:lvl ptCount="0"/>
      </cx:numDim>
    </cx:data>
  </cx:chartData>
  <cx:chart>
    <cx:title pos="t" align="ctr" overlay="0">
      <cx:tx>
        <cx:txData>
          <cx:v>Cumulative Cash Position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ptos Narrow" panose="02110004020202020204"/>
            </a:rPr>
            <a:t>Cumulative Cash Position</a:t>
          </a:r>
        </a:p>
      </cx:txPr>
    </cx:title>
    <cx:plotArea>
      <cx:plotAreaRegion>
        <cx:series layoutId="waterfall" uniqueId="{43F96A80-B05E-4C33-AEF2-767830395D58}" formatIdx="1"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ID">
            <a:solidFill>
              <a:schemeClr val="bg1"/>
            </a:solidFill>
          </a:endParaRPr>
        </a:p>
      </cx:txPr>
    </cx:legend>
  </cx:chart>
  <cx:spPr>
    <a:solidFill>
      <a:schemeClr val="accent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26" Type="http://schemas.openxmlformats.org/officeDocument/2006/relationships/hyperlink" Target="#Variance!A1"/><Relationship Id="rId39" Type="http://schemas.openxmlformats.org/officeDocument/2006/relationships/chart" Target="../charts/chart27.xml"/><Relationship Id="rId21" Type="http://schemas.openxmlformats.org/officeDocument/2006/relationships/hyperlink" Target="#Valuation!A1"/><Relationship Id="rId34" Type="http://schemas.openxmlformats.org/officeDocument/2006/relationships/chart" Target="../charts/chart22.xml"/><Relationship Id="rId42" Type="http://schemas.openxmlformats.org/officeDocument/2006/relationships/chart" Target="../charts/chart30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20" Type="http://schemas.openxmlformats.org/officeDocument/2006/relationships/hyperlink" Target="#'Actual FS'!A1"/><Relationship Id="rId29" Type="http://schemas.openxmlformats.org/officeDocument/2006/relationships/hyperlink" Target="#Ratios!A1"/><Relationship Id="rId41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24" Type="http://schemas.openxmlformats.org/officeDocument/2006/relationships/hyperlink" Target="#Scenario!A1"/><Relationship Id="rId32" Type="http://schemas.openxmlformats.org/officeDocument/2006/relationships/chart" Target="../charts/chart20.xml"/><Relationship Id="rId37" Type="http://schemas.openxmlformats.org/officeDocument/2006/relationships/chart" Target="../charts/chart25.xml"/><Relationship Id="rId40" Type="http://schemas.openxmlformats.org/officeDocument/2006/relationships/chart" Target="../charts/chart28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23" Type="http://schemas.openxmlformats.org/officeDocument/2006/relationships/hyperlink" Target="#Revenue!A1"/><Relationship Id="rId28" Type="http://schemas.openxmlformats.org/officeDocument/2006/relationships/hyperlink" Target="#Breakeven!A1"/><Relationship Id="rId36" Type="http://schemas.openxmlformats.org/officeDocument/2006/relationships/chart" Target="../charts/chart24.xml"/><Relationship Id="rId10" Type="http://schemas.openxmlformats.org/officeDocument/2006/relationships/chart" Target="../charts/chart9.xml"/><Relationship Id="rId19" Type="http://schemas.openxmlformats.org/officeDocument/2006/relationships/hyperlink" Target="#Summary!A1"/><Relationship Id="rId31" Type="http://schemas.openxmlformats.org/officeDocument/2006/relationships/chart" Target="../charts/chart19.xml"/><Relationship Id="rId44" Type="http://schemas.openxmlformats.org/officeDocument/2006/relationships/chart" Target="../charts/chart32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hyperlink" Target="#Dashboard!A1"/><Relationship Id="rId27" Type="http://schemas.openxmlformats.org/officeDocument/2006/relationships/hyperlink" Target="#'Annual Forecast'!A1"/><Relationship Id="rId30" Type="http://schemas.openxmlformats.org/officeDocument/2006/relationships/chart" Target="../charts/chart18.xml"/><Relationship Id="rId35" Type="http://schemas.openxmlformats.org/officeDocument/2006/relationships/chart" Target="../charts/chart23.xml"/><Relationship Id="rId43" Type="http://schemas.openxmlformats.org/officeDocument/2006/relationships/chart" Target="../charts/chart31.xml"/><Relationship Id="rId8" Type="http://schemas.openxmlformats.org/officeDocument/2006/relationships/chart" Target="../charts/chart7.xml"/><Relationship Id="rId3" Type="http://schemas.microsoft.com/office/2014/relationships/chartEx" Target="../charts/chartEx1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5" Type="http://schemas.openxmlformats.org/officeDocument/2006/relationships/hyperlink" Target="#'12-Month Projection'!A1"/><Relationship Id="rId33" Type="http://schemas.openxmlformats.org/officeDocument/2006/relationships/chart" Target="../charts/chart21.xml"/><Relationship Id="rId38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13" Type="http://schemas.openxmlformats.org/officeDocument/2006/relationships/chart" Target="../charts/chart34.xml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33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76200</xdr:rowOff>
    </xdr:from>
    <xdr:to>
      <xdr:col>1</xdr:col>
      <xdr:colOff>0</xdr:colOff>
      <xdr:row>15</xdr:row>
      <xdr:rowOff>161925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857623A-BE16-43EC-A247-7CC4E9692F4A}"/>
            </a:ext>
          </a:extLst>
        </xdr:cNvPr>
        <xdr:cNvGrpSpPr/>
      </xdr:nvGrpSpPr>
      <xdr:grpSpPr>
        <a:xfrm>
          <a:off x="38100" y="487680"/>
          <a:ext cx="1432560" cy="2463165"/>
          <a:chOff x="28575" y="1247775"/>
          <a:chExt cx="1295400" cy="45720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6AA1E470-47A4-9A24-C78B-9958F6F27D3C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651F7C4-51E9-9DE1-BA78-1B5EEF2C7BDA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F3CCE64-14AC-BFF6-4DBE-D35D8CCE256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19DE06E-B8AC-F0DC-687B-5DCA5D73B048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D4980E-6CCE-1BEF-E90C-31B91C33562C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96B5BC4-A04B-4057-6305-072ACB60A6B3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6A21F59F-07D8-D021-D8AD-2F300519BF24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AD89240-D5C4-BC2D-B41E-E6945F9C059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2BA8019-0C61-88A9-8EA3-3AFA92503200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1723C1E-9EFF-E0AD-5791-A4F55476DE14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96CCF77-DE3F-CCA6-DEEC-3ECA02C84D81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149</xdr:row>
      <xdr:rowOff>0</xdr:rowOff>
    </xdr:from>
    <xdr:to>
      <xdr:col>1</xdr:col>
      <xdr:colOff>0</xdr:colOff>
      <xdr:row>172</xdr:row>
      <xdr:rowOff>142875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D882F11-46FD-41A8-9375-4F4D07B4BFFF}"/>
            </a:ext>
          </a:extLst>
        </xdr:cNvPr>
        <xdr:cNvGrpSpPr/>
      </xdr:nvGrpSpPr>
      <xdr:grpSpPr>
        <a:xfrm>
          <a:off x="38100" y="27386280"/>
          <a:ext cx="1432560" cy="4349115"/>
          <a:chOff x="28575" y="1247775"/>
          <a:chExt cx="1295400" cy="4572000"/>
        </a:xfrm>
      </xdr:grpSpPr>
      <xdr:sp macro="" textlink="">
        <xdr:nvSpPr>
          <xdr:cNvPr id="15" name="Rectangle: Rounded Corners 1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86AC1A7-2378-89F0-A629-8358CDD13A70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C7C0758-28B2-E82E-7550-2735CD44E67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E3B96E3-2B92-454F-C352-42084F82B52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9E6ACA6-DE8B-CFD7-7831-F5D2652EC47B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BABFACB-2F4B-5C34-10B5-81BDA2D2D0FA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0" name="Rectangle: Rounded Corners 1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9AD6E5E-C2C0-7FB1-344F-9E099FA56E3A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21" name="Rectangle: Rounded Corners 2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6F1CE1E-A360-CFDE-E686-EE7F6903F7A0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22" name="Rectangle: Rounded Corners 2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75B7A907-A03E-D82B-0379-B18EA9B6A40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23" name="Rectangle: Rounded Corners 2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FBE57973-412B-1C3C-6591-37CE3CCF0BBC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24" name="Rectangle: Rounded Corners 2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9FE2908-3CB9-9F8D-5470-06128D912170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7317B360-38E0-EB09-5F99-549065265EA5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21</xdr:row>
      <xdr:rowOff>0</xdr:rowOff>
    </xdr:from>
    <xdr:to>
      <xdr:col>1</xdr:col>
      <xdr:colOff>0</xdr:colOff>
      <xdr:row>44</xdr:row>
      <xdr:rowOff>133350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345CEA-AF9C-4ED1-818F-AECE4B6A4E24}"/>
            </a:ext>
          </a:extLst>
        </xdr:cNvPr>
        <xdr:cNvGrpSpPr/>
      </xdr:nvGrpSpPr>
      <xdr:grpSpPr>
        <a:xfrm>
          <a:off x="38100" y="3931920"/>
          <a:ext cx="1432560" cy="4339590"/>
          <a:chOff x="28575" y="1247775"/>
          <a:chExt cx="1295400" cy="4572000"/>
        </a:xfrm>
      </xdr:grpSpPr>
      <xdr:sp macro="" textlink="">
        <xdr:nvSpPr>
          <xdr:cNvPr id="27" name="Rectangle: Rounded Corners 2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4698E8A-20FC-206D-0565-4779A2487EB8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644A3DA-54E1-FDFF-0BDA-4D872467C36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4311C8A-CA53-10B7-DDC0-10E563B7DA0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4846537-B667-3946-4954-1772472F600A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160B7A6-E633-50EE-119E-481C329ABE5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4FA82704-8C39-D357-4BD4-CD7023A8FCCA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68DC2E2B-5F7F-4634-5875-78F016CD94A6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E25CDD75-6442-6854-9807-98E31A148D2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F95EEB9D-55A7-1C38-EC12-450EF26A8448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261817E-2EB6-6E4A-82B2-00CFBE3FEA82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7" name="Rectangle: Rounded Corners 36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AD1B2EB-F13A-95C8-0BBE-88F47781EA2A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1</xdr:col>
      <xdr:colOff>0</xdr:colOff>
      <xdr:row>25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BE8B7BE-41EF-42D4-A323-DF34670670C0}"/>
            </a:ext>
          </a:extLst>
        </xdr:cNvPr>
        <xdr:cNvGrpSpPr/>
      </xdr:nvGrpSpPr>
      <xdr:grpSpPr>
        <a:xfrm>
          <a:off x="38100" y="411480"/>
          <a:ext cx="1432560" cy="4377690"/>
          <a:chOff x="28575" y="1247775"/>
          <a:chExt cx="1295400" cy="45720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57602BD-4E5A-75AF-DFFA-3F1888F26E2A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1D36948-5480-6740-86F3-23EBDC2EABD8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2D7ED5A1-68AC-38A1-D461-3D69CB23608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B54E9EF-0189-1983-D874-C08DA4DDBE7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BFD0368-0366-477F-BD0C-28321EC4FC0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FB21D2F3-074B-D72A-206B-F1E7D44325DC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BA957F7-1EE2-CA6E-C821-1B28F4A504A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3AB3056-A3B2-7D2D-FC8B-D7FC5A59EBD3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988F179-417F-D1FF-F4FD-C124548EDBF8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59889F3D-E8B0-5363-3683-8F4C3D321696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4A186C06-09C6-8405-B03A-C7FB66957DAF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101</xdr:row>
      <xdr:rowOff>0</xdr:rowOff>
    </xdr:from>
    <xdr:to>
      <xdr:col>1</xdr:col>
      <xdr:colOff>0</xdr:colOff>
      <xdr:row>124</xdr:row>
      <xdr:rowOff>171450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FFFB0FE-86FD-4CF5-BD27-5F5DA17BC21C}"/>
            </a:ext>
          </a:extLst>
        </xdr:cNvPr>
        <xdr:cNvGrpSpPr/>
      </xdr:nvGrpSpPr>
      <xdr:grpSpPr>
        <a:xfrm>
          <a:off x="38100" y="18562320"/>
          <a:ext cx="1432560" cy="4377690"/>
          <a:chOff x="28575" y="1247775"/>
          <a:chExt cx="1295400" cy="4572000"/>
        </a:xfrm>
      </xdr:grpSpPr>
      <xdr:sp macro="" textlink="">
        <xdr:nvSpPr>
          <xdr:cNvPr id="15" name="Rectangle: Rounded Corners 1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52F5C19-775C-7CA5-2F0A-7C5741D76A96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233A9A5-C313-B965-9B79-0BDC59CB6B1D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39606B4-932E-0D31-BB2A-614D86D5E0F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40BF6C5-E589-7748-C7E9-4939EEB04F1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43465BB-AAC2-A8C5-3468-0BBD5C1210EA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0" name="Rectangle: Rounded Corners 1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F18D1909-B08E-DE6D-A7F0-10424CF0EE78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21" name="Rectangle: Rounded Corners 2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22835E1-6032-83CD-AF69-3B43FEB1B5B6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22" name="Rectangle: Rounded Corners 2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7DC7353D-D55B-4391-875C-A83655F19982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23" name="Rectangle: Rounded Corners 2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FF08F41C-EC6F-D514-639B-C00F3CA3ED48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24" name="Rectangle: Rounded Corners 2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BA02DA50-1D9C-099A-A718-0C61BC01BB34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3528F92-26A6-8D04-3F42-D0AEC89FC597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211</xdr:row>
      <xdr:rowOff>0</xdr:rowOff>
    </xdr:from>
    <xdr:to>
      <xdr:col>1</xdr:col>
      <xdr:colOff>0</xdr:colOff>
      <xdr:row>234</xdr:row>
      <xdr:rowOff>171450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FE875ABE-168B-4FD2-A553-4C4AADF6C4DE}"/>
            </a:ext>
          </a:extLst>
        </xdr:cNvPr>
        <xdr:cNvGrpSpPr/>
      </xdr:nvGrpSpPr>
      <xdr:grpSpPr>
        <a:xfrm>
          <a:off x="38100" y="38724840"/>
          <a:ext cx="1432560" cy="4377690"/>
          <a:chOff x="28575" y="1247775"/>
          <a:chExt cx="1295400" cy="4572000"/>
        </a:xfrm>
      </xdr:grpSpPr>
      <xdr:sp macro="" textlink="">
        <xdr:nvSpPr>
          <xdr:cNvPr id="27" name="Rectangle: Rounded Corners 2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FE92A4E-76DB-2A77-644C-312DABA52A8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E40E8E8-67C0-C15F-DE4E-9D440294D3E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225F48AB-C9AA-C225-D655-8AADAEB5DA1D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359FC7CA-5620-61DA-0D4D-D7273F663CD9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9E6B25A-E06D-FC6C-B45B-6DC0A48ADC06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C0AB289-9DB1-5DB3-6CA9-ED95576BFAEC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E030A6B-C45A-50B0-FBA3-699D4EBBC7FB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728AC4B5-1DDE-512D-C9F2-A397A526FC9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3EA1166-E229-686D-A1C7-7ABA3DCDF4DC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EF1DD41C-252E-ECD2-7CCD-1000C0EB1C7B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7" name="Rectangle: Rounded Corners 36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BCBC89BB-4597-9D17-F489-D1643553C00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453390</xdr:colOff>
      <xdr:row>23</xdr:row>
      <xdr:rowOff>9526</xdr:rowOff>
    </xdr:from>
    <xdr:to>
      <xdr:col>21</xdr:col>
      <xdr:colOff>539115</xdr:colOff>
      <xdr:row>38</xdr:row>
      <xdr:rowOff>66676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2B44588-ED99-861B-4217-16AAADB7F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207646</xdr:colOff>
      <xdr:row>23</xdr:row>
      <xdr:rowOff>9525</xdr:rowOff>
    </xdr:from>
    <xdr:to>
      <xdr:col>15</xdr:col>
      <xdr:colOff>443865</xdr:colOff>
      <xdr:row>38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736DE9-3CD0-4A8F-5ED9-0ABE4D8CD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312420</xdr:colOff>
      <xdr:row>23</xdr:row>
      <xdr:rowOff>9525</xdr:rowOff>
    </xdr:from>
    <xdr:to>
      <xdr:col>9</xdr:col>
      <xdr:colOff>179070</xdr:colOff>
      <xdr:row>38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1">
              <a:extLst>
                <a:ext uri="{FF2B5EF4-FFF2-40B4-BE49-F238E27FC236}">
                  <a16:creationId xmlns:a16="http://schemas.microsoft.com/office/drawing/2014/main" id="{FED862FB-5D3E-CFB9-E06D-2F0152F6FB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0720" y="4261485"/>
              <a:ext cx="10679430" cy="2855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55</xdr:row>
      <xdr:rowOff>44824</xdr:rowOff>
    </xdr:from>
    <xdr:to>
      <xdr:col>9</xdr:col>
      <xdr:colOff>840441</xdr:colOff>
      <xdr:row>69</xdr:row>
      <xdr:rowOff>145117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2A79A3-6BE4-4964-95D0-C9DA78DDE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419100</xdr:colOff>
      <xdr:row>30</xdr:row>
      <xdr:rowOff>19049</xdr:rowOff>
    </xdr:from>
    <xdr:to>
      <xdr:col>11</xdr:col>
      <xdr:colOff>971549</xdr:colOff>
      <xdr:row>42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95247E-03A9-4A54-9385-DA8C39998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100853</xdr:colOff>
      <xdr:row>70</xdr:row>
      <xdr:rowOff>11205</xdr:rowOff>
    </xdr:from>
    <xdr:to>
      <xdr:col>9</xdr:col>
      <xdr:colOff>840442</xdr:colOff>
      <xdr:row>85</xdr:row>
      <xdr:rowOff>134471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D98639-4797-42AE-8F08-9CCDECC57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11128</xdr:colOff>
      <xdr:row>43</xdr:row>
      <xdr:rowOff>161922</xdr:rowOff>
    </xdr:from>
    <xdr:to>
      <xdr:col>5</xdr:col>
      <xdr:colOff>606676</xdr:colOff>
      <xdr:row>57</xdr:row>
      <xdr:rowOff>38099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832A97E-0811-4DC7-9F94-CE98396621DD}"/>
            </a:ext>
          </a:extLst>
        </xdr:cNvPr>
        <xdr:cNvGrpSpPr/>
      </xdr:nvGrpSpPr>
      <xdr:grpSpPr>
        <a:xfrm>
          <a:off x="1649428" y="8117202"/>
          <a:ext cx="7103028" cy="2436497"/>
          <a:chOff x="2896930" y="5845595"/>
          <a:chExt cx="2732345" cy="1996866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37F7B273-4A40-14FB-4FA6-62750058AF8A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7434D7BA-5F70-B914-3568-EABE235B6190}"/>
              </a:ext>
            </a:extLst>
          </xdr:cNvPr>
          <xdr:cNvGraphicFramePr>
            <a:graphicFrameLocks/>
          </xdr:cNvGraphicFramePr>
        </xdr:nvGraphicFramePr>
        <xdr:xfrm>
          <a:off x="2896930" y="5845595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3</xdr:col>
      <xdr:colOff>607054</xdr:colOff>
      <xdr:row>44</xdr:row>
      <xdr:rowOff>14576</xdr:rowOff>
    </xdr:from>
    <xdr:to>
      <xdr:col>9</xdr:col>
      <xdr:colOff>605961</xdr:colOff>
      <xdr:row>57</xdr:row>
      <xdr:rowOff>33618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039439D-573B-4332-8A10-98B4D12C082F}"/>
            </a:ext>
          </a:extLst>
        </xdr:cNvPr>
        <xdr:cNvGrpSpPr/>
      </xdr:nvGrpSpPr>
      <xdr:grpSpPr>
        <a:xfrm>
          <a:off x="4523734" y="8152736"/>
          <a:ext cx="8533307" cy="2396482"/>
          <a:chOff x="2893685" y="5860554"/>
          <a:chExt cx="2735590" cy="1996866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247E4D39-8B0B-00A9-5574-1B8B3436857D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F97B6AD1-F84B-8D3F-CBBC-76028E694EE9}"/>
              </a:ext>
            </a:extLst>
          </xdr:cNvPr>
          <xdr:cNvGraphicFramePr>
            <a:graphicFrameLocks/>
          </xdr:cNvGraphicFramePr>
        </xdr:nvGraphicFramePr>
        <xdr:xfrm>
          <a:off x="2893685" y="5860554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7</xdr:col>
      <xdr:colOff>608486</xdr:colOff>
      <xdr:row>43</xdr:row>
      <xdr:rowOff>171444</xdr:rowOff>
    </xdr:from>
    <xdr:to>
      <xdr:col>11</xdr:col>
      <xdr:colOff>608914</xdr:colOff>
      <xdr:row>57</xdr:row>
      <xdr:rowOff>47617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AB75BD06-33D8-4F8D-8716-145AB32155D7}"/>
            </a:ext>
          </a:extLst>
        </xdr:cNvPr>
        <xdr:cNvGrpSpPr/>
      </xdr:nvGrpSpPr>
      <xdr:grpSpPr>
        <a:xfrm>
          <a:off x="10644026" y="8126724"/>
          <a:ext cx="5227748" cy="2436493"/>
          <a:chOff x="2888989" y="5860560"/>
          <a:chExt cx="2740286" cy="1996866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38CE8AF1-75B9-4270-3143-2FF48F453F43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3C9AD7A3-B41F-1BB6-4915-EB857665377D}"/>
              </a:ext>
            </a:extLst>
          </xdr:cNvPr>
          <xdr:cNvGraphicFramePr>
            <a:graphicFrameLocks/>
          </xdr:cNvGraphicFramePr>
        </xdr:nvGraphicFramePr>
        <xdr:xfrm>
          <a:off x="2888989" y="5860560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9</xdr:col>
      <xdr:colOff>874059</xdr:colOff>
      <xdr:row>55</xdr:row>
      <xdr:rowOff>33618</xdr:rowOff>
    </xdr:from>
    <xdr:to>
      <xdr:col>15</xdr:col>
      <xdr:colOff>0</xdr:colOff>
      <xdr:row>69</xdr:row>
      <xdr:rowOff>156881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ACE1128-CC18-42F0-A87D-346DCD838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874058</xdr:colOff>
      <xdr:row>70</xdr:row>
      <xdr:rowOff>1</xdr:rowOff>
    </xdr:from>
    <xdr:to>
      <xdr:col>11</xdr:col>
      <xdr:colOff>2700336</xdr:colOff>
      <xdr:row>85</xdr:row>
      <xdr:rowOff>145677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AFC7F43-BFE0-4924-A745-643792C11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131</xdr:colOff>
      <xdr:row>44</xdr:row>
      <xdr:rowOff>0</xdr:rowOff>
    </xdr:from>
    <xdr:to>
      <xdr:col>13</xdr:col>
      <xdr:colOff>219634</xdr:colOff>
      <xdr:row>57</xdr:row>
      <xdr:rowOff>66674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6A3BED5-72AD-44B1-8007-7AD8D0D1ECF9}"/>
            </a:ext>
          </a:extLst>
        </xdr:cNvPr>
        <xdr:cNvGrpSpPr/>
      </xdr:nvGrpSpPr>
      <xdr:grpSpPr>
        <a:xfrm>
          <a:off x="14318111" y="8138160"/>
          <a:ext cx="4951523" cy="2444114"/>
          <a:chOff x="2897057" y="5860561"/>
          <a:chExt cx="2732218" cy="1996866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C2687C76-AC65-431C-14B0-3B16681F4ED5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876F2FE5-CA1B-B1AC-0810-E9657C9DD9DC}"/>
              </a:ext>
            </a:extLst>
          </xdr:cNvPr>
          <xdr:cNvGraphicFramePr>
            <a:graphicFrameLocks/>
          </xdr:cNvGraphicFramePr>
        </xdr:nvGraphicFramePr>
        <xdr:xfrm>
          <a:off x="2897057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12</xdr:col>
      <xdr:colOff>3490</xdr:colOff>
      <xdr:row>43</xdr:row>
      <xdr:rowOff>173124</xdr:rowOff>
    </xdr:from>
    <xdr:to>
      <xdr:col>15</xdr:col>
      <xdr:colOff>109253</xdr:colOff>
      <xdr:row>57</xdr:row>
      <xdr:rowOff>49298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5DEC5F8-E260-4701-9C31-3ACE957671B5}"/>
            </a:ext>
          </a:extLst>
        </xdr:cNvPr>
        <xdr:cNvGrpSpPr/>
      </xdr:nvGrpSpPr>
      <xdr:grpSpPr>
        <a:xfrm>
          <a:off x="18108610" y="8128404"/>
          <a:ext cx="3466183" cy="2436494"/>
          <a:chOff x="2888991" y="5860561"/>
          <a:chExt cx="2740284" cy="1996866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57951DBA-113B-4D0C-1607-44C8A87A915F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AADB1491-2538-004B-1ADA-E69C8F31913B}"/>
              </a:ext>
            </a:extLst>
          </xdr:cNvPr>
          <xdr:cNvGraphicFramePr>
            <a:graphicFrameLocks/>
          </xdr:cNvGraphicFramePr>
        </xdr:nvGraphicFramePr>
        <xdr:xfrm>
          <a:off x="2888991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0</xdr:col>
      <xdr:colOff>38100</xdr:colOff>
      <xdr:row>27</xdr:row>
      <xdr:rowOff>0</xdr:rowOff>
    </xdr:from>
    <xdr:to>
      <xdr:col>1</xdr:col>
      <xdr:colOff>0</xdr:colOff>
      <xdr:row>49</xdr:row>
      <xdr:rowOff>180975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4FBC909B-E344-472C-A31B-8B4715804D02}"/>
            </a:ext>
          </a:extLst>
        </xdr:cNvPr>
        <xdr:cNvGrpSpPr/>
      </xdr:nvGrpSpPr>
      <xdr:grpSpPr>
        <a:xfrm>
          <a:off x="38100" y="5029200"/>
          <a:ext cx="1432560" cy="4204335"/>
          <a:chOff x="28575" y="1247775"/>
          <a:chExt cx="1295400" cy="4572000"/>
        </a:xfrm>
      </xdr:grpSpPr>
      <xdr:sp macro="" textlink="">
        <xdr:nvSpPr>
          <xdr:cNvPr id="26" name="Rectangle: Rounded Corners 25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32931CA5-8C4B-BEBD-A216-FC119934AB43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27" name="Rectangle: Rounded Corners 26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04380868-B8DA-16F0-3E10-A9CF9BFA3A1F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69BE1D99-6214-7368-B3EE-B83FF3CDC4F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B3346733-BD67-3AAA-2318-196EEC508557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47C20F27-EC0A-1792-5785-5056599682F1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6B5443FB-CA09-B0A7-A963-347EDD27C5B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62DF0407-F869-FB26-BFBA-C17DD685C9DB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0B519D4B-1747-FF43-A1D0-2BF4672777DE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57DE9CEA-5B85-1663-142A-44B1DC0B406E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EE13FC7C-C08A-6444-EB86-8F2369DDDE0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29"/>
            <a:extLst>
              <a:ext uri="{FF2B5EF4-FFF2-40B4-BE49-F238E27FC236}">
                <a16:creationId xmlns:a16="http://schemas.microsoft.com/office/drawing/2014/main" id="{DEDA6FE2-4CC7-C5C8-D336-55984E2319CE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91</xdr:row>
      <xdr:rowOff>0</xdr:rowOff>
    </xdr:from>
    <xdr:to>
      <xdr:col>1</xdr:col>
      <xdr:colOff>0</xdr:colOff>
      <xdr:row>114</xdr:row>
      <xdr:rowOff>171450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20D91436-D464-48F0-AC68-DE5361575363}"/>
            </a:ext>
          </a:extLst>
        </xdr:cNvPr>
        <xdr:cNvGrpSpPr/>
      </xdr:nvGrpSpPr>
      <xdr:grpSpPr>
        <a:xfrm>
          <a:off x="38100" y="16779240"/>
          <a:ext cx="1432560" cy="4377690"/>
          <a:chOff x="28575" y="1247775"/>
          <a:chExt cx="1295400" cy="4572000"/>
        </a:xfrm>
      </xdr:grpSpPr>
      <xdr:sp macro="" textlink="">
        <xdr:nvSpPr>
          <xdr:cNvPr id="38" name="Rectangle: Rounded Corners 37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55B49672-07FB-D1BB-0E0E-CF03B25CBE3F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39" name="Rectangle: Rounded Corners 38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4B561173-638B-FC55-9A0F-94F6CBEAA69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40" name="Rectangle: Rounded Corners 39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C51C03EE-03CC-1DD5-3D7E-5BC04BD156B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41" name="Rectangle: Rounded Corners 40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DBCF247B-5298-F599-CCB6-10BD95E14429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42" name="Rectangle: Rounded Corners 41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190492AD-A5A1-A1F7-9829-AF940D920C3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43" name="Rectangle: Rounded Corners 42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B7D3D63A-6402-A613-3FBF-F6F39F25E926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44" name="Rectangle: Rounded Corners 4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C85BB798-4525-FD70-41D0-0899C84B657E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45" name="Rectangle: Rounded Corners 44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178BC52D-B8F9-FD1E-3D7F-C9AEC8C3DA9B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46" name="Rectangle: Rounded Corners 45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52D9FA14-6367-39B6-90EB-A1EC7F6699E8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47" name="Rectangle: Rounded Corners 46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CD396808-4EFD-22DC-5FA1-11C705E91EE0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48" name="Rectangle: Rounded Corners 47">
            <a:hlinkClick xmlns:r="http://schemas.openxmlformats.org/officeDocument/2006/relationships" r:id="rId29"/>
            <a:extLst>
              <a:ext uri="{FF2B5EF4-FFF2-40B4-BE49-F238E27FC236}">
                <a16:creationId xmlns:a16="http://schemas.microsoft.com/office/drawing/2014/main" id="{A411B1F2-AB58-AD7F-F355-F08FACFD8F66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8</xdr:col>
      <xdr:colOff>510541</xdr:colOff>
      <xdr:row>121</xdr:row>
      <xdr:rowOff>75882</xdr:rowOff>
    </xdr:from>
    <xdr:to>
      <xdr:col>19</xdr:col>
      <xdr:colOff>70485</xdr:colOff>
      <xdr:row>137</xdr:row>
      <xdr:rowOff>149226</xdr:rowOff>
    </xdr:to>
    <xdr:graphicFrame macro="">
      <xdr:nvGraphicFramePr>
        <xdr:cNvPr id="49" name="Chart 2">
          <a:extLst>
            <a:ext uri="{FF2B5EF4-FFF2-40B4-BE49-F238E27FC236}">
              <a16:creationId xmlns:a16="http://schemas.microsoft.com/office/drawing/2014/main" id="{4772519E-EA9E-9FF7-6D20-342591283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</xdr:col>
      <xdr:colOff>4762</xdr:colOff>
      <xdr:row>163</xdr:row>
      <xdr:rowOff>171450</xdr:rowOff>
    </xdr:from>
    <xdr:to>
      <xdr:col>6</xdr:col>
      <xdr:colOff>9525</xdr:colOff>
      <xdr:row>174</xdr:row>
      <xdr:rowOff>104775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C6168244-573D-4BC5-A129-6D2CFA95B9D0}"/>
            </a:ext>
          </a:extLst>
        </xdr:cNvPr>
        <xdr:cNvGrpSpPr/>
      </xdr:nvGrpSpPr>
      <xdr:grpSpPr>
        <a:xfrm>
          <a:off x="1643062" y="30163770"/>
          <a:ext cx="7457123" cy="1945005"/>
          <a:chOff x="119062" y="5991225"/>
          <a:chExt cx="2728913" cy="2028825"/>
        </a:xfrm>
      </xdr:grpSpPr>
      <xdr:graphicFrame macro="">
        <xdr:nvGraphicFramePr>
          <xdr:cNvPr id="51" name="Chart 50">
            <a:extLst>
              <a:ext uri="{FF2B5EF4-FFF2-40B4-BE49-F238E27FC236}">
                <a16:creationId xmlns:a16="http://schemas.microsoft.com/office/drawing/2014/main" id="{7C04D47A-383B-1D40-DC0B-D3150F20CEE4}"/>
              </a:ext>
            </a:extLst>
          </xdr:cNvPr>
          <xdr:cNvGraphicFramePr/>
        </xdr:nvGraphicFramePr>
        <xdr:xfrm>
          <a:off x="119062" y="61150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1"/>
          </a:graphicData>
        </a:graphic>
      </xdr:graphicFrame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F5CC07E2-A099-7A98-6820-80CD6C550BB0}"/>
              </a:ext>
            </a:extLst>
          </xdr:cNvPr>
          <xdr:cNvGraphicFramePr>
            <a:graphicFrameLocks/>
          </xdr:cNvGraphicFramePr>
        </xdr:nvGraphicFramePr>
        <xdr:xfrm>
          <a:off x="123826" y="59912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2"/>
          </a:graphicData>
        </a:graphic>
      </xdr:graphicFrame>
    </xdr:grpSp>
    <xdr:clientData/>
  </xdr:twoCellAnchor>
  <xdr:twoCellAnchor>
    <xdr:from>
      <xdr:col>7</xdr:col>
      <xdr:colOff>606741</xdr:colOff>
      <xdr:row>164</xdr:row>
      <xdr:rowOff>0</xdr:rowOff>
    </xdr:from>
    <xdr:to>
      <xdr:col>11</xdr:col>
      <xdr:colOff>607694</xdr:colOff>
      <xdr:row>174</xdr:row>
      <xdr:rowOff>114300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FED6FEF8-3207-4F2E-A9A9-DF8EDFE1A454}"/>
            </a:ext>
          </a:extLst>
        </xdr:cNvPr>
        <xdr:cNvGrpSpPr/>
      </xdr:nvGrpSpPr>
      <xdr:grpSpPr>
        <a:xfrm>
          <a:off x="10642281" y="30175200"/>
          <a:ext cx="5228273" cy="1943100"/>
          <a:chOff x="2900361" y="5800725"/>
          <a:chExt cx="2728913" cy="2019300"/>
        </a:xfrm>
      </xdr:grpSpPr>
      <xdr:graphicFrame macro="">
        <xdr:nvGraphicFramePr>
          <xdr:cNvPr id="54" name="Chart 53">
            <a:extLst>
              <a:ext uri="{FF2B5EF4-FFF2-40B4-BE49-F238E27FC236}">
                <a16:creationId xmlns:a16="http://schemas.microsoft.com/office/drawing/2014/main" id="{9FF1818D-FB8F-E636-4190-17264DC8B0F6}"/>
              </a:ext>
            </a:extLst>
          </xdr:cNvPr>
          <xdr:cNvGraphicFramePr>
            <a:graphicFrameLocks/>
          </xdr:cNvGraphicFramePr>
        </xdr:nvGraphicFramePr>
        <xdr:xfrm>
          <a:off x="2900361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3"/>
          </a:graphicData>
        </a:graphic>
      </xdr:graphicFrame>
      <xdr:graphicFrame macro="">
        <xdr:nvGraphicFramePr>
          <xdr:cNvPr id="55" name="Chart 54">
            <a:extLst>
              <a:ext uri="{FF2B5EF4-FFF2-40B4-BE49-F238E27FC236}">
                <a16:creationId xmlns:a16="http://schemas.microsoft.com/office/drawing/2014/main" id="{226A380F-CBEA-DAA3-9922-67EEF8084148}"/>
              </a:ext>
            </a:extLst>
          </xdr:cNvPr>
          <xdr:cNvGraphicFramePr>
            <a:graphicFrameLocks/>
          </xdr:cNvGraphicFramePr>
        </xdr:nvGraphicFramePr>
        <xdr:xfrm>
          <a:off x="2905125" y="58007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4"/>
          </a:graphicData>
        </a:graphic>
      </xdr:graphicFrame>
    </xdr:grpSp>
    <xdr:clientData/>
  </xdr:twoCellAnchor>
  <xdr:twoCellAnchor>
    <xdr:from>
      <xdr:col>13</xdr:col>
      <xdr:colOff>123825</xdr:colOff>
      <xdr:row>163</xdr:row>
      <xdr:rowOff>171450</xdr:rowOff>
    </xdr:from>
    <xdr:to>
      <xdr:col>17</xdr:col>
      <xdr:colOff>14288</xdr:colOff>
      <xdr:row>174</xdr:row>
      <xdr:rowOff>114300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E0E67422-6E57-4D0F-ABA2-DCB114F29947}"/>
            </a:ext>
          </a:extLst>
        </xdr:cNvPr>
        <xdr:cNvGrpSpPr/>
      </xdr:nvGrpSpPr>
      <xdr:grpSpPr>
        <a:xfrm>
          <a:off x="19173825" y="30163770"/>
          <a:ext cx="4195763" cy="1954530"/>
          <a:chOff x="5695950" y="5791200"/>
          <a:chExt cx="2747963" cy="2038350"/>
        </a:xfrm>
      </xdr:grpSpPr>
      <xdr:graphicFrame macro="">
        <xdr:nvGraphicFramePr>
          <xdr:cNvPr id="57" name="Chart 56">
            <a:extLst>
              <a:ext uri="{FF2B5EF4-FFF2-40B4-BE49-F238E27FC236}">
                <a16:creationId xmlns:a16="http://schemas.microsoft.com/office/drawing/2014/main" id="{7C9A237A-36FA-9DCB-2E1E-21AC59337FF9}"/>
              </a:ext>
            </a:extLst>
          </xdr:cNvPr>
          <xdr:cNvGraphicFramePr>
            <a:graphicFrameLocks/>
          </xdr:cNvGraphicFramePr>
        </xdr:nvGraphicFramePr>
        <xdr:xfrm>
          <a:off x="5695950" y="59245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5"/>
          </a:graphicData>
        </a:graphic>
      </xdr:graphicFrame>
      <xdr:graphicFrame macro="">
        <xdr:nvGraphicFramePr>
          <xdr:cNvPr id="58" name="Chart 57">
            <a:extLst>
              <a:ext uri="{FF2B5EF4-FFF2-40B4-BE49-F238E27FC236}">
                <a16:creationId xmlns:a16="http://schemas.microsoft.com/office/drawing/2014/main" id="{CCD10E50-B790-6201-EB6C-FAFED8484ABC}"/>
              </a:ext>
            </a:extLst>
          </xdr:cNvPr>
          <xdr:cNvGraphicFramePr>
            <a:graphicFrameLocks/>
          </xdr:cNvGraphicFramePr>
        </xdr:nvGraphicFramePr>
        <xdr:xfrm>
          <a:off x="5719764" y="5791200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6"/>
          </a:graphicData>
        </a:graphic>
      </xdr:graphicFrame>
    </xdr:grpSp>
    <xdr:clientData/>
  </xdr:twoCellAnchor>
  <xdr:twoCellAnchor>
    <xdr:from>
      <xdr:col>2</xdr:col>
      <xdr:colOff>66675</xdr:colOff>
      <xdr:row>176</xdr:row>
      <xdr:rowOff>0</xdr:rowOff>
    </xdr:from>
    <xdr:to>
      <xdr:col>5</xdr:col>
      <xdr:colOff>604838</xdr:colOff>
      <xdr:row>186</xdr:row>
      <xdr:rowOff>123825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77391AE6-DD87-4DC9-A751-DB061DFBE27C}"/>
            </a:ext>
          </a:extLst>
        </xdr:cNvPr>
        <xdr:cNvGrpSpPr/>
      </xdr:nvGrpSpPr>
      <xdr:grpSpPr>
        <a:xfrm>
          <a:off x="1704975" y="32369760"/>
          <a:ext cx="7045643" cy="1952625"/>
          <a:chOff x="104775" y="8220075"/>
          <a:chExt cx="2728913" cy="2028825"/>
        </a:xfrm>
      </xdr:grpSpPr>
      <xdr:graphicFrame macro="">
        <xdr:nvGraphicFramePr>
          <xdr:cNvPr id="60" name="Chart 59">
            <a:extLst>
              <a:ext uri="{FF2B5EF4-FFF2-40B4-BE49-F238E27FC236}">
                <a16:creationId xmlns:a16="http://schemas.microsoft.com/office/drawing/2014/main" id="{9F922C89-39FF-07C2-E3CE-C8EE8EE8754D}"/>
              </a:ext>
            </a:extLst>
          </xdr:cNvPr>
          <xdr:cNvGraphicFramePr/>
        </xdr:nvGraphicFramePr>
        <xdr:xfrm>
          <a:off x="104775" y="83439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7"/>
          </a:graphicData>
        </a:graphic>
      </xdr:graphicFrame>
      <xdr:graphicFrame macro="">
        <xdr:nvGraphicFramePr>
          <xdr:cNvPr id="61" name="Chart 60">
            <a:extLst>
              <a:ext uri="{FF2B5EF4-FFF2-40B4-BE49-F238E27FC236}">
                <a16:creationId xmlns:a16="http://schemas.microsoft.com/office/drawing/2014/main" id="{A97F45C7-34B6-C849-60D5-5473776A2F04}"/>
              </a:ext>
            </a:extLst>
          </xdr:cNvPr>
          <xdr:cNvGraphicFramePr>
            <a:graphicFrameLocks/>
          </xdr:cNvGraphicFramePr>
        </xdr:nvGraphicFramePr>
        <xdr:xfrm>
          <a:off x="109539" y="82200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8"/>
          </a:graphicData>
        </a:graphic>
      </xdr:graphicFrame>
    </xdr:grpSp>
    <xdr:clientData/>
  </xdr:twoCellAnchor>
  <xdr:twoCellAnchor>
    <xdr:from>
      <xdr:col>8</xdr:col>
      <xdr:colOff>38100</xdr:colOff>
      <xdr:row>176</xdr:row>
      <xdr:rowOff>19050</xdr:rowOff>
    </xdr:from>
    <xdr:to>
      <xdr:col>11</xdr:col>
      <xdr:colOff>608648</xdr:colOff>
      <xdr:row>186</xdr:row>
      <xdr:rowOff>142875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2459395F-DBE3-4ED8-B4C8-97DF7056C0C9}"/>
            </a:ext>
          </a:extLst>
        </xdr:cNvPr>
        <xdr:cNvGrpSpPr/>
      </xdr:nvGrpSpPr>
      <xdr:grpSpPr>
        <a:xfrm>
          <a:off x="11544300" y="32388810"/>
          <a:ext cx="4327208" cy="1952625"/>
          <a:chOff x="109537" y="5781675"/>
          <a:chExt cx="2728913" cy="2028825"/>
        </a:xfrm>
      </xdr:grpSpPr>
      <xdr:graphicFrame macro="">
        <xdr:nvGraphicFramePr>
          <xdr:cNvPr id="63" name="Chart 62">
            <a:extLst>
              <a:ext uri="{FF2B5EF4-FFF2-40B4-BE49-F238E27FC236}">
                <a16:creationId xmlns:a16="http://schemas.microsoft.com/office/drawing/2014/main" id="{4CFFED15-824B-0AFD-D2AE-3B5B2B429E3E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9"/>
          </a:graphicData>
        </a:graphic>
      </xdr:graphicFrame>
      <xdr:graphicFrame macro="">
        <xdr:nvGraphicFramePr>
          <xdr:cNvPr id="64" name="Chart 63">
            <a:extLst>
              <a:ext uri="{FF2B5EF4-FFF2-40B4-BE49-F238E27FC236}">
                <a16:creationId xmlns:a16="http://schemas.microsoft.com/office/drawing/2014/main" id="{413BBB88-C04F-92A6-7088-019490ED93FA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0"/>
          </a:graphicData>
        </a:graphic>
      </xdr:graphicFrame>
    </xdr:grpSp>
    <xdr:clientData/>
  </xdr:twoCellAnchor>
  <xdr:twoCellAnchor>
    <xdr:from>
      <xdr:col>13</xdr:col>
      <xdr:colOff>257175</xdr:colOff>
      <xdr:row>175</xdr:row>
      <xdr:rowOff>171450</xdr:rowOff>
    </xdr:from>
    <xdr:to>
      <xdr:col>16</xdr:col>
      <xdr:colOff>606743</xdr:colOff>
      <xdr:row>186</xdr:row>
      <xdr:rowOff>104775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BA2BD3F3-A39A-4C27-85ED-219DAE3FBEED}"/>
            </a:ext>
          </a:extLst>
        </xdr:cNvPr>
        <xdr:cNvGrpSpPr/>
      </xdr:nvGrpSpPr>
      <xdr:grpSpPr>
        <a:xfrm>
          <a:off x="19307175" y="32358330"/>
          <a:ext cx="3709988" cy="1945005"/>
          <a:chOff x="109537" y="5781675"/>
          <a:chExt cx="2728913" cy="2028825"/>
        </a:xfrm>
      </xdr:grpSpPr>
      <xdr:graphicFrame macro="">
        <xdr:nvGraphicFramePr>
          <xdr:cNvPr id="66" name="Chart 65">
            <a:extLst>
              <a:ext uri="{FF2B5EF4-FFF2-40B4-BE49-F238E27FC236}">
                <a16:creationId xmlns:a16="http://schemas.microsoft.com/office/drawing/2014/main" id="{69DA79F1-60AC-7461-5833-5316390E7E92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1"/>
          </a:graphicData>
        </a:graphic>
      </xdr:graphicFrame>
      <xdr:graphicFrame macro="">
        <xdr:nvGraphicFramePr>
          <xdr:cNvPr id="67" name="Chart 66">
            <a:extLst>
              <a:ext uri="{FF2B5EF4-FFF2-40B4-BE49-F238E27FC236}">
                <a16:creationId xmlns:a16="http://schemas.microsoft.com/office/drawing/2014/main" id="{01E0A46A-E09F-DF8F-C88A-E82B8BC942A9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2"/>
          </a:graphicData>
        </a:graphic>
      </xdr:graphicFrame>
    </xdr:grpSp>
    <xdr:clientData/>
  </xdr:twoCellAnchor>
  <xdr:twoCellAnchor>
    <xdr:from>
      <xdr:col>2</xdr:col>
      <xdr:colOff>1</xdr:colOff>
      <xdr:row>187</xdr:row>
      <xdr:rowOff>4761</xdr:rowOff>
    </xdr:from>
    <xdr:to>
      <xdr:col>17</xdr:col>
      <xdr:colOff>1</xdr:colOff>
      <xdr:row>200</xdr:row>
      <xdr:rowOff>180975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87A8AE53-EF4B-4BED-B739-74958C2D1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0</xdr:col>
      <xdr:colOff>38100</xdr:colOff>
      <xdr:row>132</xdr:row>
      <xdr:rowOff>0</xdr:rowOff>
    </xdr:from>
    <xdr:to>
      <xdr:col>1</xdr:col>
      <xdr:colOff>0</xdr:colOff>
      <xdr:row>157</xdr:row>
      <xdr:rowOff>161925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14BE8862-9D30-4E84-BE0D-F63A73AE58D3}"/>
            </a:ext>
          </a:extLst>
        </xdr:cNvPr>
        <xdr:cNvGrpSpPr/>
      </xdr:nvGrpSpPr>
      <xdr:grpSpPr>
        <a:xfrm>
          <a:off x="38100" y="24323040"/>
          <a:ext cx="1432560" cy="4733925"/>
          <a:chOff x="28575" y="1247775"/>
          <a:chExt cx="1295400" cy="4572000"/>
        </a:xfrm>
      </xdr:grpSpPr>
      <xdr:sp macro="" textlink="">
        <xdr:nvSpPr>
          <xdr:cNvPr id="70" name="Rectangle: Rounded Corners 69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60AD44D5-1BE5-298A-31A0-E5FF6A35E703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71" name="Rectangle: Rounded Corners 70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64B11404-5BA1-DF80-749E-93E68AE865AF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72" name="Rectangle: Rounded Corners 71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3C2C15FD-0763-8872-046E-69870F0E8C7A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73" name="Rectangle: Rounded Corners 72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8B44F711-EF53-3674-6AEE-27DCCDEE033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4" name="Rectangle: Rounded Corners 73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5D3B394A-56B8-8F2B-AAAD-4A19CF831E0F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75" name="Rectangle: Rounded Corners 74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C6D0A67D-327B-67A4-3F17-4CC5DF88638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76" name="Rectangle: Rounded Corners 75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C2FB600C-9CDB-6908-ED55-846F9AD130AD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77" name="Rectangle: Rounded Corners 76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77ACF58E-8F32-4ECC-0D3F-5B8514060BDB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78" name="Rectangle: Rounded Corners 77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3A31E220-CD40-AE2A-50A1-B66B3AB3917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79" name="Rectangle: Rounded Corners 78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A2872A3E-B145-AE1C-AE98-51FAA262923E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80" name="Rectangle: Rounded Corners 79">
            <a:hlinkClick xmlns:r="http://schemas.openxmlformats.org/officeDocument/2006/relationships" r:id="rId29"/>
            <a:extLst>
              <a:ext uri="{FF2B5EF4-FFF2-40B4-BE49-F238E27FC236}">
                <a16:creationId xmlns:a16="http://schemas.microsoft.com/office/drawing/2014/main" id="{ED7564A2-4C36-C75C-DB0D-CF03096C6499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2</xdr:col>
      <xdr:colOff>317181</xdr:colOff>
      <xdr:row>200</xdr:row>
      <xdr:rowOff>116522</xdr:rowOff>
    </xdr:from>
    <xdr:to>
      <xdr:col>22</xdr:col>
      <xdr:colOff>41910</xdr:colOff>
      <xdr:row>214</xdr:row>
      <xdr:rowOff>111760</xdr:rowOff>
    </xdr:to>
    <xdr:graphicFrame macro="">
      <xdr:nvGraphicFramePr>
        <xdr:cNvPr id="81" name="Chart 9">
          <a:extLst>
            <a:ext uri="{FF2B5EF4-FFF2-40B4-BE49-F238E27FC236}">
              <a16:creationId xmlns:a16="http://schemas.microsoft.com/office/drawing/2014/main" id="{0C7D20D8-669B-8E7D-5B28-185AC7B14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33</xdr:row>
      <xdr:rowOff>28575</xdr:rowOff>
    </xdr:from>
    <xdr:to>
      <xdr:col>20</xdr:col>
      <xdr:colOff>9525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17246-87FE-4677-B218-FBBF52AA2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1</xdr:col>
      <xdr:colOff>0</xdr:colOff>
      <xdr:row>26</xdr:row>
      <xdr:rowOff>57150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A9FACC9-76A7-436C-BB9D-7CF05DF1D5CF}"/>
            </a:ext>
          </a:extLst>
        </xdr:cNvPr>
        <xdr:cNvGrpSpPr/>
      </xdr:nvGrpSpPr>
      <xdr:grpSpPr>
        <a:xfrm>
          <a:off x="38100" y="411480"/>
          <a:ext cx="1432560" cy="4446270"/>
          <a:chOff x="28575" y="1247775"/>
          <a:chExt cx="1295400" cy="4572000"/>
        </a:xfrm>
      </xdr:grpSpPr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2D968B4-9D4B-D2E4-A6AF-DCE80ED1212B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A57B28B-C195-ED83-0401-8E5F1535DEDB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BDA8D10-8AFD-524E-0EF7-EE7C58EC390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14D78F1-D759-228B-AE63-28C6E162BC27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3108E2E-6A56-CAE6-E704-47B7E206E440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480C643-C06B-8A1C-0D50-C7AE457CF5DA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3038910-CE1E-E146-BD6B-F9E59A9E49BB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C78DDF1-C962-F49D-B598-FC395F8B4846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A7B46A0-B13A-B4E5-F59D-758F2E05A94B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7C779559-6A8F-FC35-42E4-614390CB7169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F409858A-93FF-AF09-1134-E94549DAF45D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0</xdr:col>
      <xdr:colOff>38100</xdr:colOff>
      <xdr:row>56</xdr:row>
      <xdr:rowOff>0</xdr:rowOff>
    </xdr:from>
    <xdr:to>
      <xdr:col>1</xdr:col>
      <xdr:colOff>0</xdr:colOff>
      <xdr:row>79</xdr:row>
      <xdr:rowOff>142875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9C951ABF-1B7E-4B11-A017-A3D78032F73A}"/>
            </a:ext>
          </a:extLst>
        </xdr:cNvPr>
        <xdr:cNvGrpSpPr/>
      </xdr:nvGrpSpPr>
      <xdr:grpSpPr>
        <a:xfrm>
          <a:off x="38100" y="10363200"/>
          <a:ext cx="1432560" cy="4349115"/>
          <a:chOff x="28575" y="1247775"/>
          <a:chExt cx="1295400" cy="4572000"/>
        </a:xfrm>
      </xdr:grpSpPr>
      <xdr:sp macro="" textlink="">
        <xdr:nvSpPr>
          <xdr:cNvPr id="16" name="Rectangle: Rounded Corners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EAFE08A-8534-E9C7-9E50-1F49ED144BB5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Overview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D68D798-415A-5CB3-96B3-9821B0F0105B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Financials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E7561AA-CCC8-B58E-8EE8-EDCA9B0465A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B97D32E-5D3D-9465-8F1B-1D7ABA8DE60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20" name="Rectangle: Rounded Corners 1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29CD8FF-F814-89AB-108B-282918D328A1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1" name="Rectangle: Rounded Corners 2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48FC2232-89E9-F848-010D-DB89C1C60D52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Scenarios</a:t>
            </a:r>
          </a:p>
        </xdr:txBody>
      </xdr:sp>
      <xdr:sp macro="" textlink="">
        <xdr:nvSpPr>
          <xdr:cNvPr id="22" name="Rectangle: Rounded Corners 2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AACB9755-61D0-EA61-0855-7F31250BBD29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Monthly Plan</a:t>
            </a:r>
          </a:p>
        </xdr:txBody>
      </xdr:sp>
      <xdr:sp macro="" textlink="">
        <xdr:nvSpPr>
          <xdr:cNvPr id="23" name="Rectangle: Rounded Corners 2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EEDCDB2F-E3CB-9ABD-78BC-8DDB6D2BE29E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24" name="Rectangle: Rounded Corners 2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6C961D5-4A78-AA1D-8044-FFADC01D9C98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Annual Plan</a:t>
            </a:r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58EC245-459E-F3E0-4727-5D1ACA91FA52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Break-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26" name="Rectangle: Rounded Corners 2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7A91760E-FC9A-1EE8-B90C-E10C24E81F33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  <xdr:twoCellAnchor>
    <xdr:from>
      <xdr:col>8</xdr:col>
      <xdr:colOff>133351</xdr:colOff>
      <xdr:row>79</xdr:row>
      <xdr:rowOff>69532</xdr:rowOff>
    </xdr:from>
    <xdr:to>
      <xdr:col>22</xdr:col>
      <xdr:colOff>238125</xdr:colOff>
      <xdr:row>97</xdr:row>
      <xdr:rowOff>17146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C16824A4-5BDA-A977-5E54-97D993E72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BA9A0F-E718-4DDD-B2D1-535AEBED7FC1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7802-D478-40F0-B09D-FFFBC3FC05AF}">
  <dimension ref="A1:S210"/>
  <sheetViews>
    <sheetView workbookViewId="0" tabSelected="1"/>
  </sheetViews>
  <sheetFormatPr defaultRowHeight="14.4" x14ac:dyDescent="0.3"/>
  <cols>
    <col min="1" max="1" width="21.44140625" customWidth="1"/>
    <col min="2" max="2" width="2.44140625" customWidth="1"/>
    <col min="3" max="3" width="25.77734375" customWidth="1"/>
    <col min="4" max="4" width="29.21875" customWidth="1"/>
    <col min="5" max="5" width="18.109375" customWidth="1"/>
    <col min="6" max="6" width="15.109375" customWidth="1"/>
    <col min="7" max="19" width="13.77734375" customWidth="1"/>
  </cols>
  <sheetData>
    <row r="1" spans="1:6" x14ac:dyDescent="0.3">
      <c r="A1" s="198" t="s">
        <v>0</v>
      </c>
      <c r="B1" s="1"/>
      <c r="C1" s="1"/>
      <c r="D1" s="1"/>
      <c r="E1" s="2"/>
      <c r="F1" s="1"/>
    </row>
    <row r="2" spans="1:6" ht="18" x14ac:dyDescent="0.3">
      <c r="A2" s="199" t="s">
        <v>38</v>
      </c>
      <c r="B2" s="440" t="s">
        <v>23</v>
      </c>
      <c r="C2" s="440"/>
      <c r="D2" s="440"/>
      <c r="E2" s="440"/>
      <c r="F2" s="440"/>
    </row>
    <row r="3" spans="1:6" x14ac:dyDescent="0.3">
      <c r="A3" s="3"/>
      <c r="B3" s="382"/>
      <c r="C3" s="438" t="s">
        <v>37</v>
      </c>
      <c r="D3" s="439"/>
      <c r="E3" s="439"/>
      <c r="F3" s="439"/>
    </row>
    <row r="4" spans="1:6" x14ac:dyDescent="0.3">
      <c r="A4" s="3"/>
      <c r="B4" s="5"/>
      <c r="C4" s="5" t="s">
        <v>24</v>
      </c>
      <c r="D4" s="5"/>
      <c r="E4" s="5" t="s">
        <v>39</v>
      </c>
      <c r="F4" s="5"/>
    </row>
    <row r="5" spans="1:6" x14ac:dyDescent="0.3">
      <c r="A5" s="3"/>
      <c r="B5" s="383"/>
      <c r="C5" s="200" t="s">
        <v>34</v>
      </c>
      <c r="D5" s="383"/>
      <c r="E5" s="201" t="s">
        <v>40</v>
      </c>
      <c r="F5" s="202" t="s">
        <v>41</v>
      </c>
    </row>
    <row r="6" spans="1:6" x14ac:dyDescent="0.3">
      <c r="A6" s="3"/>
      <c r="B6" s="382"/>
      <c r="C6" s="203" t="s">
        <v>36</v>
      </c>
      <c r="D6" s="382"/>
      <c r="E6" s="204" t="s">
        <v>42</v>
      </c>
      <c r="F6" s="205" t="s">
        <v>22</v>
      </c>
    </row>
    <row r="7" spans="1:6" x14ac:dyDescent="0.3">
      <c r="A7" s="3"/>
      <c r="B7" s="382"/>
      <c r="C7" s="203" t="s">
        <v>25</v>
      </c>
      <c r="D7" s="382"/>
      <c r="E7" s="204" t="s">
        <v>43</v>
      </c>
      <c r="F7" s="205" t="s">
        <v>44</v>
      </c>
    </row>
    <row r="8" spans="1:6" x14ac:dyDescent="0.3">
      <c r="A8" s="3"/>
      <c r="B8" s="382"/>
      <c r="C8" s="203" t="s">
        <v>30</v>
      </c>
      <c r="D8" s="382"/>
      <c r="E8" s="204" t="s">
        <v>45</v>
      </c>
      <c r="F8" s="206">
        <v>2025</v>
      </c>
    </row>
    <row r="9" spans="1:6" x14ac:dyDescent="0.3">
      <c r="A9" s="3"/>
      <c r="B9" s="382"/>
      <c r="C9" s="203" t="s">
        <v>29</v>
      </c>
      <c r="D9" s="382"/>
      <c r="E9" s="204" t="s">
        <v>46</v>
      </c>
      <c r="F9" s="207">
        <v>10</v>
      </c>
    </row>
    <row r="10" spans="1:6" x14ac:dyDescent="0.3">
      <c r="A10" s="3"/>
      <c r="B10" s="382"/>
      <c r="C10" s="203" t="s">
        <v>31</v>
      </c>
      <c r="D10" s="382"/>
      <c r="E10" s="204" t="s">
        <v>47</v>
      </c>
      <c r="F10" s="208" t="s">
        <v>1</v>
      </c>
    </row>
    <row r="11" spans="1:6" x14ac:dyDescent="0.3">
      <c r="A11" s="3"/>
      <c r="B11" s="382"/>
      <c r="C11" s="203" t="s">
        <v>32</v>
      </c>
      <c r="D11" s="382"/>
      <c r="E11" s="384"/>
      <c r="F11" s="382"/>
    </row>
    <row r="12" spans="1:6" x14ac:dyDescent="0.3">
      <c r="A12" s="3"/>
      <c r="B12" s="382"/>
      <c r="C12" s="203" t="s">
        <v>26</v>
      </c>
      <c r="D12" s="382"/>
      <c r="E12" s="384"/>
      <c r="F12" s="382"/>
    </row>
    <row r="13" spans="1:6" x14ac:dyDescent="0.3">
      <c r="A13" s="3"/>
      <c r="B13" s="382"/>
      <c r="C13" s="203" t="s">
        <v>33</v>
      </c>
      <c r="D13" s="382"/>
      <c r="E13" s="4"/>
      <c r="F13" s="4"/>
    </row>
    <row r="14" spans="1:6" x14ac:dyDescent="0.3">
      <c r="A14" s="3"/>
      <c r="B14" s="5"/>
      <c r="C14" s="6" t="s">
        <v>27</v>
      </c>
      <c r="D14" s="5"/>
      <c r="E14" s="7" t="s">
        <v>48</v>
      </c>
      <c r="F14" s="7"/>
    </row>
    <row r="15" spans="1:6" x14ac:dyDescent="0.3">
      <c r="A15" s="3"/>
      <c r="B15" s="382"/>
      <c r="C15" s="203" t="s">
        <v>35</v>
      </c>
      <c r="D15" s="382"/>
      <c r="E15" s="209" t="s">
        <v>49</v>
      </c>
      <c r="F15" s="210" t="s">
        <v>28</v>
      </c>
    </row>
    <row r="20" spans="1:17" x14ac:dyDescent="0.3">
      <c r="A20" s="211" t="s">
        <v>0</v>
      </c>
      <c r="B20" s="8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18" x14ac:dyDescent="0.3">
      <c r="A21" s="199" t="s">
        <v>38</v>
      </c>
      <c r="B21" s="449" t="str">
        <f>'Control Center'!F6</f>
        <v/>
      </c>
      <c r="C21" s="450"/>
      <c r="D21" s="450"/>
      <c r="E21" s="450"/>
      <c r="F21" s="450"/>
      <c r="G21" s="450"/>
      <c r="H21" s="450"/>
      <c r="I21" s="450"/>
      <c r="J21" s="450"/>
      <c r="K21" s="450"/>
      <c r="L21" s="450"/>
      <c r="M21" s="450"/>
      <c r="N21" s="450"/>
      <c r="O21" s="450"/>
      <c r="P21" s="450"/>
      <c r="Q21" s="41"/>
    </row>
    <row r="22" spans="1:17" x14ac:dyDescent="0.3">
      <c r="A22" s="64"/>
      <c r="B22" s="396"/>
      <c r="C22" s="396"/>
      <c r="D22" s="396"/>
      <c r="E22" s="396"/>
      <c r="F22" s="396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96"/>
    </row>
    <row r="23" spans="1:17" x14ac:dyDescent="0.3">
      <c r="A23" s="64"/>
      <c r="B23" s="55"/>
      <c r="C23" s="55" t="s">
        <v>29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396"/>
    </row>
    <row r="24" spans="1:17" x14ac:dyDescent="0.3">
      <c r="A24" s="64"/>
      <c r="B24" s="396"/>
      <c r="C24" s="262" t="str">
        <f>'Formula Audit'!A3</f>
        <v>Figures in USD</v>
      </c>
      <c r="D24" s="82"/>
      <c r="E24" s="122"/>
      <c r="F24" s="12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396"/>
    </row>
    <row r="25" spans="1:17" x14ac:dyDescent="0.3">
      <c r="A25" s="64"/>
      <c r="B25" s="137"/>
      <c r="C25" s="137"/>
      <c r="D25" s="138" t="s">
        <v>50</v>
      </c>
      <c r="E25" s="139" t="s">
        <v>51</v>
      </c>
      <c r="F25" s="137"/>
      <c r="G25" s="448" t="s">
        <v>52</v>
      </c>
      <c r="H25" s="448"/>
      <c r="I25" s="448"/>
      <c r="J25" s="448"/>
      <c r="K25" s="448"/>
      <c r="L25" s="448"/>
      <c r="M25" s="448"/>
      <c r="N25" s="448"/>
      <c r="O25" s="448"/>
      <c r="P25" s="448"/>
      <c r="Q25" s="396"/>
    </row>
    <row r="26" spans="1:17" x14ac:dyDescent="0.3">
      <c r="A26" s="64"/>
      <c r="B26" s="396"/>
      <c r="C26" s="215" t="s">
        <v>53</v>
      </c>
      <c r="D26" s="15"/>
      <c r="E26" s="15"/>
      <c r="F26" s="11"/>
      <c r="G26" s="349">
        <f>'Formula Audit'!C9</f>
        <v>2025</v>
      </c>
      <c r="H26" s="349">
        <f>'Formula Audit'!D9</f>
        <v>2026</v>
      </c>
      <c r="I26" s="349">
        <f>'Formula Audit'!E9</f>
        <v>2027</v>
      </c>
      <c r="J26" s="349">
        <f>'Formula Audit'!F9</f>
        <v>2028</v>
      </c>
      <c r="K26" s="349">
        <f>'Formula Audit'!G9</f>
        <v>2029</v>
      </c>
      <c r="L26" s="349">
        <f>'Formula Audit'!H9</f>
        <v>2030</v>
      </c>
      <c r="M26" s="349">
        <f>'Formula Audit'!I9</f>
        <v>2031</v>
      </c>
      <c r="N26" s="349">
        <f>'Formula Audit'!J9</f>
        <v>2032</v>
      </c>
      <c r="O26" s="349">
        <f>'Formula Audit'!K9</f>
        <v>2033</v>
      </c>
      <c r="P26" s="349">
        <f>'Formula Audit'!L9</f>
        <v>2034</v>
      </c>
      <c r="Q26" s="109"/>
    </row>
    <row r="27" spans="1:17" x14ac:dyDescent="0.3">
      <c r="A27" s="64"/>
      <c r="B27" s="55"/>
      <c r="C27" s="55" t="s">
        <v>54</v>
      </c>
      <c r="D27" s="55"/>
      <c r="E27" s="55"/>
      <c r="F27" s="55"/>
      <c r="G27" s="140"/>
      <c r="H27" s="141"/>
      <c r="I27" s="141"/>
      <c r="J27" s="141"/>
      <c r="K27" s="141"/>
      <c r="L27" s="141"/>
      <c r="M27" s="141"/>
      <c r="N27" s="141"/>
      <c r="O27" s="141"/>
      <c r="P27" s="142"/>
      <c r="Q27" s="396"/>
    </row>
    <row r="28" spans="1:17" x14ac:dyDescent="0.3">
      <c r="A28" s="64"/>
      <c r="B28" s="396"/>
      <c r="C28" s="12"/>
      <c r="D28" s="216" t="s">
        <v>55</v>
      </c>
      <c r="E28" s="301" t="s">
        <v>56</v>
      </c>
      <c r="F28" s="12"/>
      <c r="G28" s="125">
        <f>'Formula Audit'!C45</f>
        <v>0</v>
      </c>
      <c r="H28" s="126">
        <f>'Formula Audit'!D45</f>
        <v>6.7018999999999995E-2</v>
      </c>
      <c r="I28" s="126">
        <f>'Formula Audit'!E45</f>
        <v>5.5849000000000003E-2</v>
      </c>
      <c r="J28" s="126">
        <f>'Formula Audit'!F45</f>
        <v>4.4679000000000003E-2</v>
      </c>
      <c r="K28" s="126">
        <f>'Formula Audit'!G45</f>
        <v>3.3509999999999998E-2</v>
      </c>
      <c r="L28" s="126">
        <f>'Formula Audit'!H45</f>
        <v>3.3509999999999998E-2</v>
      </c>
      <c r="M28" s="126">
        <f>'Formula Audit'!I45</f>
        <v>2.2339999999999999E-2</v>
      </c>
      <c r="N28" s="126">
        <f>'Formula Audit'!J45</f>
        <v>2.2339999999999999E-2</v>
      </c>
      <c r="O28" s="126">
        <f>'Formula Audit'!K45</f>
        <v>2.2339999999999999E-2</v>
      </c>
      <c r="P28" s="127">
        <f>'Formula Audit'!L45</f>
        <v>2.2339999999999999E-2</v>
      </c>
      <c r="Q28" s="396"/>
    </row>
    <row r="29" spans="1:17" x14ac:dyDescent="0.3">
      <c r="A29" s="64"/>
      <c r="B29" s="396"/>
      <c r="C29" s="12"/>
      <c r="D29" s="216" t="s">
        <v>57</v>
      </c>
      <c r="E29" s="301" t="s">
        <v>58</v>
      </c>
      <c r="F29" s="12"/>
      <c r="G29" s="110"/>
      <c r="H29" s="128">
        <f>'Formula Audit'!D49</f>
        <v>0.26594299999999998</v>
      </c>
      <c r="I29" s="128">
        <f>'Formula Audit'!E49</f>
        <v>0.26594299999999998</v>
      </c>
      <c r="J29" s="128">
        <f>'Formula Audit'!F49</f>
        <v>0.255305</v>
      </c>
      <c r="K29" s="128">
        <f>'Formula Audit'!G49</f>
        <v>0.255305</v>
      </c>
      <c r="L29" s="128">
        <f>'Formula Audit'!H49</f>
        <v>0.244668</v>
      </c>
      <c r="M29" s="128">
        <f>'Formula Audit'!I49</f>
        <v>0.244668</v>
      </c>
      <c r="N29" s="128">
        <f>'Formula Audit'!J49</f>
        <v>0.23402999999999999</v>
      </c>
      <c r="O29" s="128">
        <f>'Formula Audit'!K49</f>
        <v>0.23402999999999999</v>
      </c>
      <c r="P29" s="129">
        <f>'Formula Audit'!L49</f>
        <v>0.22339200000000001</v>
      </c>
      <c r="Q29" s="396"/>
    </row>
    <row r="30" spans="1:17" x14ac:dyDescent="0.3">
      <c r="A30" s="64"/>
      <c r="B30" s="396"/>
      <c r="C30" s="12"/>
      <c r="D30" s="216" t="s">
        <v>59</v>
      </c>
      <c r="E30" s="301" t="s">
        <v>60</v>
      </c>
      <c r="F30" s="12"/>
      <c r="G30" s="110"/>
      <c r="H30" s="128">
        <f>'Formula Audit'!D53</f>
        <v>0.33648</v>
      </c>
      <c r="I30" s="128">
        <f>'Formula Audit'!E53</f>
        <v>0.319656</v>
      </c>
      <c r="J30" s="128">
        <f>'Formula Audit'!F53</f>
        <v>0.31124400000000002</v>
      </c>
      <c r="K30" s="128">
        <f>'Formula Audit'!G53</f>
        <v>0.30283199999999999</v>
      </c>
      <c r="L30" s="128">
        <f>'Formula Audit'!H53</f>
        <v>0.29442000000000002</v>
      </c>
      <c r="M30" s="128">
        <f>'Formula Audit'!I53</f>
        <v>0.29442000000000002</v>
      </c>
      <c r="N30" s="128">
        <f>'Formula Audit'!J53</f>
        <v>0.28600799999999998</v>
      </c>
      <c r="O30" s="128">
        <f>'Formula Audit'!K53</f>
        <v>0.28600799999999998</v>
      </c>
      <c r="P30" s="129">
        <f>'Formula Audit'!L53</f>
        <v>0.28600799999999998</v>
      </c>
      <c r="Q30" s="396"/>
    </row>
    <row r="31" spans="1:17" x14ac:dyDescent="0.3">
      <c r="A31" s="64"/>
      <c r="B31" s="398"/>
      <c r="C31" s="27"/>
      <c r="D31" s="220" t="s">
        <v>61</v>
      </c>
      <c r="E31" s="286" t="s">
        <v>62</v>
      </c>
      <c r="F31" s="27"/>
      <c r="G31" s="134">
        <f>'Formula Audit'!C57</f>
        <v>0.190469</v>
      </c>
      <c r="H31" s="135">
        <f>'Formula Audit'!D57</f>
        <v>0.190469</v>
      </c>
      <c r="I31" s="135">
        <f>'Formula Audit'!E57</f>
        <v>0.190469</v>
      </c>
      <c r="J31" s="135">
        <f>'Formula Audit'!F57</f>
        <v>0.190469</v>
      </c>
      <c r="K31" s="135">
        <f>'Formula Audit'!G57</f>
        <v>0.190469</v>
      </c>
      <c r="L31" s="135">
        <f>'Formula Audit'!H57</f>
        <v>0.190469</v>
      </c>
      <c r="M31" s="135">
        <f>'Formula Audit'!I57</f>
        <v>0.190469</v>
      </c>
      <c r="N31" s="135">
        <f>'Formula Audit'!J57</f>
        <v>0.190469</v>
      </c>
      <c r="O31" s="135">
        <f>'Formula Audit'!K57</f>
        <v>0.190469</v>
      </c>
      <c r="P31" s="136">
        <f>'Formula Audit'!L57</f>
        <v>0.190469</v>
      </c>
      <c r="Q31" s="396"/>
    </row>
    <row r="32" spans="1:17" x14ac:dyDescent="0.3">
      <c r="A32" s="64"/>
      <c r="B32" s="398"/>
      <c r="C32" s="27"/>
      <c r="D32" s="220" t="s">
        <v>63</v>
      </c>
      <c r="E32" s="286" t="s">
        <v>62</v>
      </c>
      <c r="F32" s="27"/>
      <c r="G32" s="134">
        <f>'Formula Audit'!C61</f>
        <v>0.13719300000000001</v>
      </c>
      <c r="H32" s="135">
        <f>'Formula Audit'!D61</f>
        <v>0.12576000000000001</v>
      </c>
      <c r="I32" s="135">
        <f>'Formula Audit'!E61</f>
        <v>0.114327</v>
      </c>
      <c r="J32" s="135">
        <f>'Formula Audit'!F61</f>
        <v>0.102895</v>
      </c>
      <c r="K32" s="135">
        <f>'Formula Audit'!G61</f>
        <v>0.102895</v>
      </c>
      <c r="L32" s="135">
        <f>'Formula Audit'!H61</f>
        <v>9.1462000000000002E-2</v>
      </c>
      <c r="M32" s="135">
        <f>'Formula Audit'!I61</f>
        <v>9.1462000000000002E-2</v>
      </c>
      <c r="N32" s="135">
        <f>'Formula Audit'!J61</f>
        <v>8.0029000000000003E-2</v>
      </c>
      <c r="O32" s="135">
        <f>'Formula Audit'!K61</f>
        <v>8.0029000000000003E-2</v>
      </c>
      <c r="P32" s="136">
        <f>'Formula Audit'!L61</f>
        <v>8.0029000000000003E-2</v>
      </c>
      <c r="Q32" s="396"/>
    </row>
    <row r="33" spans="1:17" x14ac:dyDescent="0.3">
      <c r="A33" s="64"/>
      <c r="B33" s="396"/>
      <c r="C33" s="12"/>
      <c r="D33" s="216" t="s">
        <v>64</v>
      </c>
      <c r="E33" s="302" t="str">
        <f>'Control Center'!$F$10</f>
        <v>USD</v>
      </c>
      <c r="F33" s="12"/>
      <c r="G33" s="303">
        <f>'Formula Audit'!C65</f>
        <v>58749</v>
      </c>
      <c r="H33" s="290">
        <f>'Formula Audit'!D65</f>
        <v>58749</v>
      </c>
      <c r="I33" s="290">
        <f>'Formula Audit'!E65</f>
        <v>58749</v>
      </c>
      <c r="J33" s="290">
        <f>'Formula Audit'!F65</f>
        <v>58749</v>
      </c>
      <c r="K33" s="290">
        <f>'Formula Audit'!G65</f>
        <v>58749</v>
      </c>
      <c r="L33" s="290">
        <f>'Formula Audit'!H65</f>
        <v>58749</v>
      </c>
      <c r="M33" s="290">
        <f>'Formula Audit'!I65</f>
        <v>58749</v>
      </c>
      <c r="N33" s="290">
        <f>'Formula Audit'!J65</f>
        <v>58749</v>
      </c>
      <c r="O33" s="290">
        <f>'Formula Audit'!K65</f>
        <v>58749</v>
      </c>
      <c r="P33" s="304">
        <f>'Formula Audit'!L65</f>
        <v>58749</v>
      </c>
      <c r="Q33" s="396"/>
    </row>
    <row r="34" spans="1:17" x14ac:dyDescent="0.3">
      <c r="A34" s="64"/>
      <c r="B34" s="398"/>
      <c r="C34" s="27"/>
      <c r="D34" s="220" t="s">
        <v>65</v>
      </c>
      <c r="E34" s="286" t="s">
        <v>62</v>
      </c>
      <c r="F34" s="27"/>
      <c r="G34" s="134">
        <f>'Formula Audit'!C69</f>
        <v>4.5594000000000003E-2</v>
      </c>
      <c r="H34" s="135">
        <f>'Formula Audit'!D69</f>
        <v>4.5594000000000003E-2</v>
      </c>
      <c r="I34" s="135">
        <f>'Formula Audit'!E69</f>
        <v>3.9895E-2</v>
      </c>
      <c r="J34" s="135">
        <f>'Formula Audit'!F69</f>
        <v>3.9895E-2</v>
      </c>
      <c r="K34" s="135">
        <f>'Formula Audit'!G69</f>
        <v>3.9895E-2</v>
      </c>
      <c r="L34" s="135">
        <f>'Formula Audit'!H69</f>
        <v>3.9895E-2</v>
      </c>
      <c r="M34" s="135">
        <f>'Formula Audit'!I69</f>
        <v>3.4195000000000003E-2</v>
      </c>
      <c r="N34" s="135">
        <f>'Formula Audit'!J69</f>
        <v>3.4195000000000003E-2</v>
      </c>
      <c r="O34" s="135">
        <f>'Formula Audit'!K69</f>
        <v>3.4195000000000003E-2</v>
      </c>
      <c r="P34" s="136">
        <f>'Formula Audit'!L69</f>
        <v>3.4195000000000003E-2</v>
      </c>
      <c r="Q34" s="396"/>
    </row>
    <row r="35" spans="1:17" x14ac:dyDescent="0.3">
      <c r="A35" s="64"/>
      <c r="B35" s="396"/>
      <c r="C35" s="12"/>
      <c r="D35" s="216" t="s">
        <v>66</v>
      </c>
      <c r="E35" s="302" t="str">
        <f>'Control Center'!$F$10</f>
        <v>USD</v>
      </c>
      <c r="F35" s="12"/>
      <c r="G35" s="303">
        <f>'Formula Audit'!C73</f>
        <v>34135</v>
      </c>
      <c r="H35" s="290">
        <f>'Formula Audit'!D73</f>
        <v>34135</v>
      </c>
      <c r="I35" s="290">
        <f>'Formula Audit'!E73</f>
        <v>34135</v>
      </c>
      <c r="J35" s="290">
        <f>'Formula Audit'!F73</f>
        <v>34135</v>
      </c>
      <c r="K35" s="290">
        <f>'Formula Audit'!G73</f>
        <v>34135</v>
      </c>
      <c r="L35" s="290">
        <f>'Formula Audit'!H73</f>
        <v>34135</v>
      </c>
      <c r="M35" s="290">
        <f>'Formula Audit'!I73</f>
        <v>34135</v>
      </c>
      <c r="N35" s="290">
        <f>'Formula Audit'!J73</f>
        <v>34135</v>
      </c>
      <c r="O35" s="290">
        <f>'Formula Audit'!K73</f>
        <v>34135</v>
      </c>
      <c r="P35" s="304">
        <f>'Formula Audit'!L73</f>
        <v>34135</v>
      </c>
      <c r="Q35" s="396"/>
    </row>
    <row r="36" spans="1:17" x14ac:dyDescent="0.3">
      <c r="A36" s="64"/>
      <c r="B36" s="398"/>
      <c r="C36" s="27"/>
      <c r="D36" s="220" t="s">
        <v>67</v>
      </c>
      <c r="E36" s="286" t="s">
        <v>62</v>
      </c>
      <c r="F36" s="27"/>
      <c r="G36" s="134">
        <f>'Formula Audit'!C77</f>
        <v>7.0540000000000004E-3</v>
      </c>
      <c r="H36" s="135">
        <f>'Formula Audit'!D77</f>
        <v>7.0540000000000004E-3</v>
      </c>
      <c r="I36" s="135">
        <f>'Formula Audit'!E77</f>
        <v>7.0540000000000004E-3</v>
      </c>
      <c r="J36" s="135">
        <f>'Formula Audit'!F77</f>
        <v>7.0540000000000004E-3</v>
      </c>
      <c r="K36" s="135">
        <f>'Formula Audit'!G77</f>
        <v>7.0540000000000004E-3</v>
      </c>
      <c r="L36" s="135">
        <f>'Formula Audit'!H77</f>
        <v>7.0540000000000004E-3</v>
      </c>
      <c r="M36" s="135">
        <f>'Formula Audit'!I77</f>
        <v>7.0540000000000004E-3</v>
      </c>
      <c r="N36" s="135">
        <f>'Formula Audit'!J77</f>
        <v>7.0540000000000004E-3</v>
      </c>
      <c r="O36" s="135">
        <f>'Formula Audit'!K77</f>
        <v>7.0540000000000004E-3</v>
      </c>
      <c r="P36" s="136">
        <f>'Formula Audit'!L77</f>
        <v>7.0540000000000004E-3</v>
      </c>
      <c r="Q36" s="396"/>
    </row>
    <row r="37" spans="1:17" x14ac:dyDescent="0.3">
      <c r="A37" s="64"/>
      <c r="B37" s="396"/>
      <c r="C37" s="12"/>
      <c r="D37" s="216" t="s">
        <v>68</v>
      </c>
      <c r="E37" s="301" t="s">
        <v>69</v>
      </c>
      <c r="F37" s="12"/>
      <c r="G37" s="130">
        <f>'Formula Audit'!C81</f>
        <v>0.41451700000000002</v>
      </c>
      <c r="H37" s="128">
        <f>'Formula Audit'!D81</f>
        <v>0.41451700000000002</v>
      </c>
      <c r="I37" s="128">
        <f>'Formula Audit'!E81</f>
        <v>0.41451700000000002</v>
      </c>
      <c r="J37" s="128">
        <f>'Formula Audit'!F81</f>
        <v>0.41451700000000002</v>
      </c>
      <c r="K37" s="128">
        <f>'Formula Audit'!G81</f>
        <v>0.41451700000000002</v>
      </c>
      <c r="L37" s="128">
        <f>'Formula Audit'!H81</f>
        <v>0.41451700000000002</v>
      </c>
      <c r="M37" s="128">
        <f>'Formula Audit'!I81</f>
        <v>0.41451700000000002</v>
      </c>
      <c r="N37" s="128">
        <f>'Formula Audit'!J81</f>
        <v>0.41451700000000002</v>
      </c>
      <c r="O37" s="128">
        <f>'Formula Audit'!K81</f>
        <v>0.41451700000000002</v>
      </c>
      <c r="P37" s="129">
        <f>'Formula Audit'!L81</f>
        <v>0.41451700000000002</v>
      </c>
      <c r="Q37" s="396"/>
    </row>
    <row r="38" spans="1:17" x14ac:dyDescent="0.3">
      <c r="A38" s="64"/>
      <c r="B38" s="396"/>
      <c r="C38" s="12"/>
      <c r="D38" s="216" t="s">
        <v>70</v>
      </c>
      <c r="E38" s="301" t="s">
        <v>71</v>
      </c>
      <c r="F38" s="12"/>
      <c r="G38" s="130">
        <f>'Formula Audit'!C85</f>
        <v>0.26483400000000001</v>
      </c>
      <c r="H38" s="128">
        <f>'Formula Audit'!D85</f>
        <v>0.26483400000000001</v>
      </c>
      <c r="I38" s="128">
        <f>'Formula Audit'!E85</f>
        <v>0.26483400000000001</v>
      </c>
      <c r="J38" s="128">
        <f>'Formula Audit'!F85</f>
        <v>0.26483400000000001</v>
      </c>
      <c r="K38" s="128">
        <f>'Formula Audit'!G85</f>
        <v>0.26483400000000001</v>
      </c>
      <c r="L38" s="128">
        <f>'Formula Audit'!H85</f>
        <v>0.26483400000000001</v>
      </c>
      <c r="M38" s="128">
        <f>'Formula Audit'!I85</f>
        <v>0.26483400000000001</v>
      </c>
      <c r="N38" s="128">
        <f>'Formula Audit'!J85</f>
        <v>0.26483400000000001</v>
      </c>
      <c r="O38" s="128">
        <f>'Formula Audit'!K85</f>
        <v>0.26483400000000001</v>
      </c>
      <c r="P38" s="129">
        <f>'Formula Audit'!L85</f>
        <v>0.26483400000000001</v>
      </c>
      <c r="Q38" s="396"/>
    </row>
    <row r="39" spans="1:17" x14ac:dyDescent="0.3">
      <c r="A39" s="64"/>
      <c r="B39" s="396"/>
      <c r="C39" s="12"/>
      <c r="D39" s="12"/>
      <c r="E39" s="124"/>
      <c r="F39" s="12"/>
      <c r="G39" s="89"/>
      <c r="H39" s="90"/>
      <c r="I39" s="90"/>
      <c r="J39" s="90"/>
      <c r="K39" s="90"/>
      <c r="L39" s="90"/>
      <c r="M39" s="90"/>
      <c r="N39" s="90"/>
      <c r="O39" s="90"/>
      <c r="P39" s="91"/>
      <c r="Q39" s="396"/>
    </row>
    <row r="40" spans="1:17" x14ac:dyDescent="0.3">
      <c r="A40" s="64"/>
      <c r="B40" s="55"/>
      <c r="C40" s="55" t="s">
        <v>72</v>
      </c>
      <c r="D40" s="55"/>
      <c r="E40" s="32"/>
      <c r="F40" s="55"/>
      <c r="G40" s="77"/>
      <c r="H40" s="143"/>
      <c r="I40" s="143"/>
      <c r="J40" s="143"/>
      <c r="K40" s="143"/>
      <c r="L40" s="143"/>
      <c r="M40" s="143"/>
      <c r="N40" s="143"/>
      <c r="O40" s="143"/>
      <c r="P40" s="144"/>
      <c r="Q40" s="396"/>
    </row>
    <row r="41" spans="1:17" x14ac:dyDescent="0.3">
      <c r="A41" s="64"/>
      <c r="B41" s="396"/>
      <c r="C41" s="12"/>
      <c r="D41" s="216" t="s">
        <v>73</v>
      </c>
      <c r="E41" s="301" t="s">
        <v>3</v>
      </c>
      <c r="F41" s="12"/>
      <c r="G41" s="131">
        <f>'Formula Audit'!C89</f>
        <v>37</v>
      </c>
      <c r="H41" s="132">
        <f>'Formula Audit'!D89</f>
        <v>37</v>
      </c>
      <c r="I41" s="132">
        <f>'Formula Audit'!E89</f>
        <v>37</v>
      </c>
      <c r="J41" s="132">
        <f>'Formula Audit'!F89</f>
        <v>37</v>
      </c>
      <c r="K41" s="132">
        <f>'Formula Audit'!G89</f>
        <v>37</v>
      </c>
      <c r="L41" s="132">
        <f>'Formula Audit'!H89</f>
        <v>32</v>
      </c>
      <c r="M41" s="132">
        <f>'Formula Audit'!I89</f>
        <v>32</v>
      </c>
      <c r="N41" s="132">
        <f>'Formula Audit'!J89</f>
        <v>32</v>
      </c>
      <c r="O41" s="132">
        <f>'Formula Audit'!K89</f>
        <v>32</v>
      </c>
      <c r="P41" s="133">
        <f>'Formula Audit'!L89</f>
        <v>32</v>
      </c>
      <c r="Q41" s="396"/>
    </row>
    <row r="42" spans="1:17" x14ac:dyDescent="0.3">
      <c r="A42" s="64"/>
      <c r="B42" s="396"/>
      <c r="C42" s="12"/>
      <c r="D42" s="216" t="s">
        <v>74</v>
      </c>
      <c r="E42" s="301" t="s">
        <v>3</v>
      </c>
      <c r="F42" s="12"/>
      <c r="G42" s="131">
        <f>'Formula Audit'!C93</f>
        <v>66</v>
      </c>
      <c r="H42" s="132">
        <f>'Formula Audit'!D93</f>
        <v>66</v>
      </c>
      <c r="I42" s="132">
        <f>'Formula Audit'!E93</f>
        <v>66</v>
      </c>
      <c r="J42" s="132">
        <f>'Formula Audit'!F93</f>
        <v>71</v>
      </c>
      <c r="K42" s="132">
        <f>'Formula Audit'!G93</f>
        <v>71</v>
      </c>
      <c r="L42" s="132">
        <f>'Formula Audit'!H93</f>
        <v>71</v>
      </c>
      <c r="M42" s="132">
        <f>'Formula Audit'!I93</f>
        <v>76</v>
      </c>
      <c r="N42" s="132">
        <f>'Formula Audit'!J93</f>
        <v>76</v>
      </c>
      <c r="O42" s="132">
        <f>'Formula Audit'!K93</f>
        <v>81</v>
      </c>
      <c r="P42" s="133">
        <f>'Formula Audit'!L93</f>
        <v>81</v>
      </c>
      <c r="Q42" s="396"/>
    </row>
    <row r="43" spans="1:17" x14ac:dyDescent="0.3">
      <c r="A43" s="64"/>
      <c r="B43" s="396"/>
      <c r="C43" s="12"/>
      <c r="D43" s="216" t="s">
        <v>75</v>
      </c>
      <c r="E43" s="301" t="s">
        <v>76</v>
      </c>
      <c r="F43" s="12"/>
      <c r="G43" s="305">
        <f>'Formula Audit'!C97</f>
        <v>13917</v>
      </c>
      <c r="H43" s="90"/>
      <c r="I43" s="90"/>
      <c r="J43" s="90"/>
      <c r="K43" s="90"/>
      <c r="L43" s="90"/>
      <c r="M43" s="90"/>
      <c r="N43" s="90"/>
      <c r="O43" s="90"/>
      <c r="P43" s="91"/>
      <c r="Q43" s="396"/>
    </row>
    <row r="44" spans="1:17" x14ac:dyDescent="0.3">
      <c r="A44" s="64"/>
      <c r="B44" s="396"/>
      <c r="C44" s="12"/>
      <c r="D44" s="216" t="s">
        <v>77</v>
      </c>
      <c r="E44" s="301" t="s">
        <v>3</v>
      </c>
      <c r="F44" s="12"/>
      <c r="G44" s="131">
        <f>'Formula Audit'!C101</f>
        <v>53</v>
      </c>
      <c r="H44" s="132">
        <f>'Formula Audit'!D101</f>
        <v>53</v>
      </c>
      <c r="I44" s="132">
        <f>'Formula Audit'!E101</f>
        <v>53</v>
      </c>
      <c r="J44" s="132">
        <f>'Formula Audit'!F101</f>
        <v>53</v>
      </c>
      <c r="K44" s="132">
        <f>'Formula Audit'!G101</f>
        <v>53</v>
      </c>
      <c r="L44" s="132">
        <f>'Formula Audit'!H101</f>
        <v>48</v>
      </c>
      <c r="M44" s="132">
        <f>'Formula Audit'!I101</f>
        <v>48</v>
      </c>
      <c r="N44" s="132">
        <f>'Formula Audit'!J101</f>
        <v>48</v>
      </c>
      <c r="O44" s="132">
        <f>'Formula Audit'!K101</f>
        <v>48</v>
      </c>
      <c r="P44" s="133">
        <f>'Formula Audit'!L101</f>
        <v>48</v>
      </c>
      <c r="Q44" s="396"/>
    </row>
    <row r="45" spans="1:17" x14ac:dyDescent="0.3">
      <c r="A45" s="64"/>
      <c r="B45" s="398"/>
      <c r="C45" s="27"/>
      <c r="D45" s="220" t="s">
        <v>78</v>
      </c>
      <c r="E45" s="286" t="s">
        <v>62</v>
      </c>
      <c r="F45" s="27"/>
      <c r="G45" s="134">
        <f>'Formula Audit'!C105</f>
        <v>5.0562999999999997E-2</v>
      </c>
      <c r="H45" s="135">
        <f>'Formula Audit'!D105</f>
        <v>5.0562999999999997E-2</v>
      </c>
      <c r="I45" s="135">
        <f>'Formula Audit'!E105</f>
        <v>5.0562999999999997E-2</v>
      </c>
      <c r="J45" s="135">
        <f>'Formula Audit'!F105</f>
        <v>5.0562999999999997E-2</v>
      </c>
      <c r="K45" s="135">
        <f>'Formula Audit'!G105</f>
        <v>5.0562999999999997E-2</v>
      </c>
      <c r="L45" s="135">
        <f>'Formula Audit'!H105</f>
        <v>5.0562999999999997E-2</v>
      </c>
      <c r="M45" s="135">
        <f>'Formula Audit'!I105</f>
        <v>5.0562999999999997E-2</v>
      </c>
      <c r="N45" s="135">
        <f>'Formula Audit'!J105</f>
        <v>5.0562999999999997E-2</v>
      </c>
      <c r="O45" s="135">
        <f>'Formula Audit'!K105</f>
        <v>5.0562999999999997E-2</v>
      </c>
      <c r="P45" s="136">
        <f>'Formula Audit'!L105</f>
        <v>5.0562999999999997E-2</v>
      </c>
      <c r="Q45" s="396"/>
    </row>
    <row r="46" spans="1:17" x14ac:dyDescent="0.3">
      <c r="A46" s="64"/>
      <c r="B46" s="396"/>
      <c r="C46" s="12"/>
      <c r="D46" s="216" t="s">
        <v>79</v>
      </c>
      <c r="E46" s="302" t="str">
        <f>'Control Center'!$F$10</f>
        <v>USD</v>
      </c>
      <c r="F46" s="12"/>
      <c r="G46" s="305">
        <f>'Formula Audit'!C109</f>
        <v>6975</v>
      </c>
      <c r="H46" s="306">
        <f>'Formula Audit'!D109</f>
        <v>8719</v>
      </c>
      <c r="I46" s="306">
        <f>'Formula Audit'!E109</f>
        <v>10463</v>
      </c>
      <c r="J46" s="306">
        <f>'Formula Audit'!F109</f>
        <v>10463</v>
      </c>
      <c r="K46" s="306">
        <f>'Formula Audit'!G109</f>
        <v>13078</v>
      </c>
      <c r="L46" s="306">
        <f>'Formula Audit'!H109</f>
        <v>15694</v>
      </c>
      <c r="M46" s="306">
        <f>'Formula Audit'!I109</f>
        <v>13078</v>
      </c>
      <c r="N46" s="306">
        <f>'Formula Audit'!J109</f>
        <v>10463</v>
      </c>
      <c r="O46" s="306">
        <f>'Formula Audit'!K109</f>
        <v>8719</v>
      </c>
      <c r="P46" s="307">
        <f>'Formula Audit'!L109</f>
        <v>6975</v>
      </c>
      <c r="Q46" s="396"/>
    </row>
    <row r="47" spans="1:17" x14ac:dyDescent="0.3">
      <c r="A47" s="64"/>
      <c r="B47" s="396"/>
      <c r="C47" s="12"/>
      <c r="D47" s="12"/>
      <c r="E47" s="124"/>
      <c r="F47" s="12"/>
      <c r="G47" s="89"/>
      <c r="H47" s="90"/>
      <c r="I47" s="90"/>
      <c r="J47" s="113"/>
      <c r="K47" s="90"/>
      <c r="L47" s="90"/>
      <c r="M47" s="90"/>
      <c r="N47" s="90"/>
      <c r="O47" s="90"/>
      <c r="P47" s="91"/>
      <c r="Q47" s="396"/>
    </row>
    <row r="48" spans="1:17" x14ac:dyDescent="0.3">
      <c r="A48" s="64"/>
      <c r="B48" s="55"/>
      <c r="C48" s="55" t="s">
        <v>80</v>
      </c>
      <c r="D48" s="55"/>
      <c r="E48" s="32"/>
      <c r="F48" s="55"/>
      <c r="G48" s="77"/>
      <c r="H48" s="143"/>
      <c r="I48" s="143"/>
      <c r="J48" s="145"/>
      <c r="K48" s="143"/>
      <c r="L48" s="143"/>
      <c r="M48" s="143"/>
      <c r="N48" s="143"/>
      <c r="O48" s="143"/>
      <c r="P48" s="144"/>
      <c r="Q48" s="396"/>
    </row>
    <row r="49" spans="1:17" x14ac:dyDescent="0.3">
      <c r="A49" s="64"/>
      <c r="B49" s="396"/>
      <c r="C49" s="12"/>
      <c r="D49" s="216" t="s">
        <v>81</v>
      </c>
      <c r="E49" s="301" t="s">
        <v>4</v>
      </c>
      <c r="F49" s="12"/>
      <c r="G49" s="130">
        <f>'Formula Audit'!C113</f>
        <v>6.2939999999999996E-2</v>
      </c>
      <c r="H49" s="128">
        <f>'Formula Audit'!D113</f>
        <v>6.2939999999999996E-2</v>
      </c>
      <c r="I49" s="128">
        <f>'Formula Audit'!E113</f>
        <v>6.2939999999999996E-2</v>
      </c>
      <c r="J49" s="128">
        <f>'Formula Audit'!F113</f>
        <v>6.2939999999999996E-2</v>
      </c>
      <c r="K49" s="128">
        <f>'Formula Audit'!G113</f>
        <v>6.2939999999999996E-2</v>
      </c>
      <c r="L49" s="128">
        <f>'Formula Audit'!H113</f>
        <v>6.2939999999999996E-2</v>
      </c>
      <c r="M49" s="128">
        <f>'Formula Audit'!I113</f>
        <v>6.2939999999999996E-2</v>
      </c>
      <c r="N49" s="128">
        <f>'Formula Audit'!J113</f>
        <v>6.2939999999999996E-2</v>
      </c>
      <c r="O49" s="128">
        <f>'Formula Audit'!K113</f>
        <v>6.2939999999999996E-2</v>
      </c>
      <c r="P49" s="129">
        <f>'Formula Audit'!L113</f>
        <v>6.2939999999999996E-2</v>
      </c>
      <c r="Q49" s="396"/>
    </row>
    <row r="50" spans="1:17" x14ac:dyDescent="0.3">
      <c r="A50" s="64"/>
      <c r="B50" s="396"/>
      <c r="C50" s="12"/>
      <c r="D50" s="216" t="s">
        <v>82</v>
      </c>
      <c r="E50" s="301" t="s">
        <v>83</v>
      </c>
      <c r="F50" s="12"/>
      <c r="G50" s="305">
        <f>'Formula Audit'!C117</f>
        <v>70860</v>
      </c>
      <c r="H50" s="111"/>
      <c r="I50" s="111"/>
      <c r="J50" s="111"/>
      <c r="K50" s="111"/>
      <c r="L50" s="111"/>
      <c r="M50" s="111"/>
      <c r="N50" s="111"/>
      <c r="O50" s="111"/>
      <c r="P50" s="112"/>
      <c r="Q50" s="396"/>
    </row>
    <row r="51" spans="1:17" x14ac:dyDescent="0.3">
      <c r="A51" s="64"/>
      <c r="B51" s="396"/>
      <c r="C51" s="12"/>
      <c r="D51" s="216" t="s">
        <v>84</v>
      </c>
      <c r="E51" s="301" t="s">
        <v>1</v>
      </c>
      <c r="F51" s="12"/>
      <c r="G51" s="305">
        <f>'Formula Audit'!C121</f>
        <v>92803</v>
      </c>
      <c r="H51" s="306">
        <f>'Formula Audit'!D121</f>
        <v>92803</v>
      </c>
      <c r="I51" s="306">
        <f>'Formula Audit'!E121</f>
        <v>92803</v>
      </c>
      <c r="J51" s="306">
        <f>'Formula Audit'!F121</f>
        <v>92803</v>
      </c>
      <c r="K51" s="306">
        <f>'Formula Audit'!G121</f>
        <v>92803</v>
      </c>
      <c r="L51" s="306">
        <f>'Formula Audit'!H121</f>
        <v>92803</v>
      </c>
      <c r="M51" s="306">
        <f>'Formula Audit'!I121</f>
        <v>92803</v>
      </c>
      <c r="N51" s="306">
        <f>'Formula Audit'!J121</f>
        <v>92803</v>
      </c>
      <c r="O51" s="306">
        <f>'Formula Audit'!K121</f>
        <v>92803</v>
      </c>
      <c r="P51" s="307">
        <f>'Formula Audit'!L121</f>
        <v>92803</v>
      </c>
      <c r="Q51" s="396"/>
    </row>
    <row r="52" spans="1:17" x14ac:dyDescent="0.3">
      <c r="A52" s="64"/>
      <c r="B52" s="396"/>
      <c r="C52" s="12"/>
      <c r="D52" s="216" t="s">
        <v>85</v>
      </c>
      <c r="E52" s="302" t="str">
        <f>'Control Center'!$F$10</f>
        <v>USD</v>
      </c>
      <c r="F52" s="12"/>
      <c r="G52" s="305">
        <f>'Formula Audit'!C125</f>
        <v>-5497</v>
      </c>
      <c r="H52" s="306">
        <f>'Formula Audit'!D125</f>
        <v>-5497</v>
      </c>
      <c r="I52" s="306">
        <f>'Formula Audit'!E125</f>
        <v>-5497</v>
      </c>
      <c r="J52" s="306">
        <f>'Formula Audit'!F125</f>
        <v>-5497</v>
      </c>
      <c r="K52" s="306">
        <f>'Formula Audit'!G125</f>
        <v>-5497</v>
      </c>
      <c r="L52" s="306">
        <f>'Formula Audit'!H125</f>
        <v>-5497</v>
      </c>
      <c r="M52" s="306">
        <f>'Formula Audit'!I125</f>
        <v>-5497</v>
      </c>
      <c r="N52" s="306">
        <f>'Formula Audit'!J125</f>
        <v>-5497</v>
      </c>
      <c r="O52" s="306">
        <f>'Formula Audit'!K125</f>
        <v>-5497</v>
      </c>
      <c r="P52" s="307">
        <f>'Formula Audit'!L125</f>
        <v>-5497</v>
      </c>
      <c r="Q52" s="396"/>
    </row>
    <row r="53" spans="1:17" x14ac:dyDescent="0.3">
      <c r="A53" s="64"/>
      <c r="B53" s="396"/>
      <c r="C53" s="12"/>
      <c r="D53" s="216" t="s">
        <v>86</v>
      </c>
      <c r="E53" s="302" t="str">
        <f>'Control Center'!$F$10</f>
        <v>USD</v>
      </c>
      <c r="F53" s="12"/>
      <c r="G53" s="305">
        <f>'Formula Audit'!C129</f>
        <v>0</v>
      </c>
      <c r="H53" s="306">
        <f>'Formula Audit'!D129</f>
        <v>0</v>
      </c>
      <c r="I53" s="306">
        <f>'Formula Audit'!E129</f>
        <v>0</v>
      </c>
      <c r="J53" s="306">
        <f>'Formula Audit'!F129</f>
        <v>0</v>
      </c>
      <c r="K53" s="306">
        <f>'Formula Audit'!G129</f>
        <v>0</v>
      </c>
      <c r="L53" s="306">
        <f>'Formula Audit'!H129</f>
        <v>0</v>
      </c>
      <c r="M53" s="306">
        <f>'Formula Audit'!I129</f>
        <v>0</v>
      </c>
      <c r="N53" s="306">
        <f>'Formula Audit'!J129</f>
        <v>0</v>
      </c>
      <c r="O53" s="306">
        <f>'Formula Audit'!K129</f>
        <v>0</v>
      </c>
      <c r="P53" s="307">
        <f>'Formula Audit'!L129</f>
        <v>0</v>
      </c>
      <c r="Q53" s="396"/>
    </row>
    <row r="54" spans="1:17" x14ac:dyDescent="0.3">
      <c r="A54" s="64"/>
      <c r="B54" s="398"/>
      <c r="C54" s="27"/>
      <c r="D54" s="220" t="s">
        <v>87</v>
      </c>
      <c r="E54" s="286" t="s">
        <v>88</v>
      </c>
      <c r="F54" s="27"/>
      <c r="G54" s="134">
        <f>'Formula Audit'!C133</f>
        <v>0.149393</v>
      </c>
      <c r="H54" s="135">
        <f>'Formula Audit'!D133</f>
        <v>0.149393</v>
      </c>
      <c r="I54" s="135">
        <f>'Formula Audit'!E133</f>
        <v>0.149393</v>
      </c>
      <c r="J54" s="135">
        <f>'Formula Audit'!F133</f>
        <v>0.149393</v>
      </c>
      <c r="K54" s="135">
        <f>'Formula Audit'!G133</f>
        <v>0.149393</v>
      </c>
      <c r="L54" s="135">
        <f>'Formula Audit'!H133</f>
        <v>0.149393</v>
      </c>
      <c r="M54" s="135">
        <f>'Formula Audit'!I133</f>
        <v>0.149393</v>
      </c>
      <c r="N54" s="135">
        <f>'Formula Audit'!J133</f>
        <v>0.149393</v>
      </c>
      <c r="O54" s="135">
        <f>'Formula Audit'!K133</f>
        <v>0.149393</v>
      </c>
      <c r="P54" s="136">
        <f>'Formula Audit'!L133</f>
        <v>0.149393</v>
      </c>
      <c r="Q54" s="396"/>
    </row>
    <row r="55" spans="1:17" x14ac:dyDescent="0.3">
      <c r="A55" s="64"/>
      <c r="B55" s="396"/>
      <c r="C55" s="114"/>
      <c r="D55" s="114"/>
      <c r="E55" s="114"/>
      <c r="F55" s="396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96"/>
    </row>
    <row r="56" spans="1:17" x14ac:dyDescent="0.3">
      <c r="A56" s="64"/>
      <c r="B56" s="55"/>
      <c r="C56" s="146" t="s">
        <v>89</v>
      </c>
      <c r="D56" s="146"/>
      <c r="E56" s="146"/>
      <c r="F56" s="146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396"/>
    </row>
    <row r="57" spans="1:17" x14ac:dyDescent="0.3">
      <c r="A57" s="64"/>
      <c r="B57" s="33"/>
      <c r="C57" s="33" t="s">
        <v>54</v>
      </c>
      <c r="D57" s="33"/>
      <c r="E57" s="33"/>
      <c r="F57" s="33"/>
      <c r="G57" s="147"/>
      <c r="H57" s="148"/>
      <c r="I57" s="148"/>
      <c r="J57" s="148"/>
      <c r="K57" s="148"/>
      <c r="L57" s="148"/>
      <c r="M57" s="148"/>
      <c r="N57" s="148"/>
      <c r="O57" s="148"/>
      <c r="P57" s="149"/>
      <c r="Q57" s="396"/>
    </row>
    <row r="58" spans="1:17" x14ac:dyDescent="0.3">
      <c r="A58" s="64"/>
      <c r="B58" s="396"/>
      <c r="C58" s="12"/>
      <c r="D58" s="216" t="s">
        <v>55</v>
      </c>
      <c r="E58" s="301" t="s">
        <v>56</v>
      </c>
      <c r="F58" s="115"/>
      <c r="G58" s="116"/>
      <c r="H58" s="308">
        <v>6.7018999999999995E-2</v>
      </c>
      <c r="I58" s="308">
        <v>5.5849000000000003E-2</v>
      </c>
      <c r="J58" s="308">
        <v>4.4679000000000003E-2</v>
      </c>
      <c r="K58" s="308">
        <v>3.3509999999999998E-2</v>
      </c>
      <c r="L58" s="308">
        <v>3.3509999999999998E-2</v>
      </c>
      <c r="M58" s="308">
        <v>2.2339999999999999E-2</v>
      </c>
      <c r="N58" s="308">
        <v>2.2339999999999999E-2</v>
      </c>
      <c r="O58" s="308">
        <v>2.2339999999999999E-2</v>
      </c>
      <c r="P58" s="309">
        <v>2.2339999999999999E-2</v>
      </c>
      <c r="Q58" s="396"/>
    </row>
    <row r="59" spans="1:17" x14ac:dyDescent="0.3">
      <c r="A59" s="64"/>
      <c r="B59" s="396"/>
      <c r="C59" s="12"/>
      <c r="D59" s="216" t="s">
        <v>57</v>
      </c>
      <c r="E59" s="301" t="s">
        <v>58</v>
      </c>
      <c r="F59" s="115"/>
      <c r="G59" s="116"/>
      <c r="H59" s="308">
        <v>0.26594299999999998</v>
      </c>
      <c r="I59" s="308">
        <v>0.26594299999999998</v>
      </c>
      <c r="J59" s="308">
        <v>0.255305</v>
      </c>
      <c r="K59" s="308">
        <v>0.255305</v>
      </c>
      <c r="L59" s="308">
        <v>0.244668</v>
      </c>
      <c r="M59" s="308">
        <v>0.244668</v>
      </c>
      <c r="N59" s="308">
        <v>0.23402999999999999</v>
      </c>
      <c r="O59" s="308">
        <v>0.23402999999999999</v>
      </c>
      <c r="P59" s="309">
        <v>0.22339200000000001</v>
      </c>
      <c r="Q59" s="396"/>
    </row>
    <row r="60" spans="1:17" x14ac:dyDescent="0.3">
      <c r="A60" s="64"/>
      <c r="B60" s="396"/>
      <c r="C60" s="12"/>
      <c r="D60" s="216" t="s">
        <v>59</v>
      </c>
      <c r="E60" s="301" t="s">
        <v>60</v>
      </c>
      <c r="F60" s="115"/>
      <c r="G60" s="116"/>
      <c r="H60" s="308">
        <v>0.33648</v>
      </c>
      <c r="I60" s="308">
        <v>0.319656</v>
      </c>
      <c r="J60" s="308">
        <v>0.31124400000000002</v>
      </c>
      <c r="K60" s="308">
        <v>0.30283199999999999</v>
      </c>
      <c r="L60" s="308">
        <v>0.29442000000000002</v>
      </c>
      <c r="M60" s="308">
        <v>0.29442000000000002</v>
      </c>
      <c r="N60" s="308">
        <v>0.28600799999999998</v>
      </c>
      <c r="O60" s="308">
        <v>0.28600799999999998</v>
      </c>
      <c r="P60" s="309">
        <v>0.28600799999999998</v>
      </c>
      <c r="Q60" s="396"/>
    </row>
    <row r="61" spans="1:17" x14ac:dyDescent="0.3">
      <c r="A61" s="64"/>
      <c r="B61" s="398"/>
      <c r="C61" s="27"/>
      <c r="D61" s="220" t="s">
        <v>61</v>
      </c>
      <c r="E61" s="286" t="s">
        <v>62</v>
      </c>
      <c r="F61" s="72"/>
      <c r="G61" s="310">
        <v>0.190469</v>
      </c>
      <c r="H61" s="311">
        <v>0.190469</v>
      </c>
      <c r="I61" s="311">
        <v>0.190469</v>
      </c>
      <c r="J61" s="311">
        <v>0.190469</v>
      </c>
      <c r="K61" s="311">
        <v>0.190469</v>
      </c>
      <c r="L61" s="311">
        <v>0.190469</v>
      </c>
      <c r="M61" s="311">
        <v>0.190469</v>
      </c>
      <c r="N61" s="311">
        <v>0.190469</v>
      </c>
      <c r="O61" s="311">
        <v>0.190469</v>
      </c>
      <c r="P61" s="312">
        <v>0.190469</v>
      </c>
      <c r="Q61" s="396"/>
    </row>
    <row r="62" spans="1:17" x14ac:dyDescent="0.3">
      <c r="A62" s="64"/>
      <c r="B62" s="398"/>
      <c r="C62" s="27"/>
      <c r="D62" s="220" t="s">
        <v>63</v>
      </c>
      <c r="E62" s="286" t="s">
        <v>62</v>
      </c>
      <c r="F62" s="72"/>
      <c r="G62" s="310">
        <v>0.13719300000000001</v>
      </c>
      <c r="H62" s="311">
        <v>0.12576000000000001</v>
      </c>
      <c r="I62" s="311">
        <v>0.114327</v>
      </c>
      <c r="J62" s="311">
        <v>0.102895</v>
      </c>
      <c r="K62" s="311">
        <v>0.102895</v>
      </c>
      <c r="L62" s="311">
        <v>9.1462000000000002E-2</v>
      </c>
      <c r="M62" s="311">
        <v>9.1462000000000002E-2</v>
      </c>
      <c r="N62" s="311">
        <v>8.0029000000000003E-2</v>
      </c>
      <c r="O62" s="311">
        <v>8.0029000000000003E-2</v>
      </c>
      <c r="P62" s="312">
        <v>8.0029000000000003E-2</v>
      </c>
      <c r="Q62" s="396"/>
    </row>
    <row r="63" spans="1:17" x14ac:dyDescent="0.3">
      <c r="A63" s="64"/>
      <c r="B63" s="396"/>
      <c r="C63" s="12"/>
      <c r="D63" s="216" t="s">
        <v>64</v>
      </c>
      <c r="E63" s="302" t="str">
        <f>'Control Center'!$F$10</f>
        <v>USD</v>
      </c>
      <c r="F63" s="115"/>
      <c r="G63" s="313">
        <v>58749</v>
      </c>
      <c r="H63" s="314">
        <v>58749</v>
      </c>
      <c r="I63" s="314">
        <v>58749</v>
      </c>
      <c r="J63" s="314">
        <v>58749</v>
      </c>
      <c r="K63" s="314">
        <v>58749</v>
      </c>
      <c r="L63" s="314">
        <v>58749</v>
      </c>
      <c r="M63" s="314">
        <v>58749</v>
      </c>
      <c r="N63" s="314">
        <v>58749</v>
      </c>
      <c r="O63" s="314">
        <v>58749</v>
      </c>
      <c r="P63" s="315">
        <v>58749</v>
      </c>
      <c r="Q63" s="396"/>
    </row>
    <row r="64" spans="1:17" x14ac:dyDescent="0.3">
      <c r="A64" s="64"/>
      <c r="B64" s="398"/>
      <c r="C64" s="27"/>
      <c r="D64" s="220" t="s">
        <v>65</v>
      </c>
      <c r="E64" s="286" t="s">
        <v>62</v>
      </c>
      <c r="F64" s="72"/>
      <c r="G64" s="310">
        <v>4.5594000000000003E-2</v>
      </c>
      <c r="H64" s="311">
        <v>4.5594000000000003E-2</v>
      </c>
      <c r="I64" s="311">
        <v>3.9895E-2</v>
      </c>
      <c r="J64" s="311">
        <v>3.9895E-2</v>
      </c>
      <c r="K64" s="311">
        <v>3.9895E-2</v>
      </c>
      <c r="L64" s="311">
        <v>3.9895E-2</v>
      </c>
      <c r="M64" s="311">
        <v>3.4195000000000003E-2</v>
      </c>
      <c r="N64" s="311">
        <v>3.4195000000000003E-2</v>
      </c>
      <c r="O64" s="311">
        <v>3.4195000000000003E-2</v>
      </c>
      <c r="P64" s="312">
        <v>3.4195000000000003E-2</v>
      </c>
      <c r="Q64" s="396"/>
    </row>
    <row r="65" spans="1:17" x14ac:dyDescent="0.3">
      <c r="A65" s="64"/>
      <c r="B65" s="396"/>
      <c r="C65" s="12"/>
      <c r="D65" s="216" t="s">
        <v>66</v>
      </c>
      <c r="E65" s="302" t="str">
        <f>'Control Center'!$F$10</f>
        <v>USD</v>
      </c>
      <c r="F65" s="115"/>
      <c r="G65" s="313">
        <v>34135</v>
      </c>
      <c r="H65" s="314">
        <v>34135</v>
      </c>
      <c r="I65" s="314">
        <v>34135</v>
      </c>
      <c r="J65" s="314">
        <v>34135</v>
      </c>
      <c r="K65" s="314">
        <v>34135</v>
      </c>
      <c r="L65" s="314">
        <v>34135</v>
      </c>
      <c r="M65" s="314">
        <v>34135</v>
      </c>
      <c r="N65" s="314">
        <v>34135</v>
      </c>
      <c r="O65" s="314">
        <v>34135</v>
      </c>
      <c r="P65" s="315">
        <v>34135</v>
      </c>
      <c r="Q65" s="396"/>
    </row>
    <row r="66" spans="1:17" x14ac:dyDescent="0.3">
      <c r="A66" s="64"/>
      <c r="B66" s="398"/>
      <c r="C66" s="27"/>
      <c r="D66" s="220" t="s">
        <v>67</v>
      </c>
      <c r="E66" s="286" t="s">
        <v>62</v>
      </c>
      <c r="F66" s="72"/>
      <c r="G66" s="310">
        <v>7.0540000000000004E-3</v>
      </c>
      <c r="H66" s="311">
        <v>7.0540000000000004E-3</v>
      </c>
      <c r="I66" s="311">
        <v>7.0540000000000004E-3</v>
      </c>
      <c r="J66" s="311">
        <v>7.0540000000000004E-3</v>
      </c>
      <c r="K66" s="311">
        <v>7.0540000000000004E-3</v>
      </c>
      <c r="L66" s="311">
        <v>7.0540000000000004E-3</v>
      </c>
      <c r="M66" s="311">
        <v>7.0540000000000004E-3</v>
      </c>
      <c r="N66" s="311">
        <v>7.0540000000000004E-3</v>
      </c>
      <c r="O66" s="311">
        <v>7.0540000000000004E-3</v>
      </c>
      <c r="P66" s="312">
        <v>7.0540000000000004E-3</v>
      </c>
      <c r="Q66" s="396"/>
    </row>
    <row r="67" spans="1:17" x14ac:dyDescent="0.3">
      <c r="A67" s="64"/>
      <c r="B67" s="396"/>
      <c r="C67" s="12"/>
      <c r="D67" s="216" t="s">
        <v>68</v>
      </c>
      <c r="E67" s="301" t="s">
        <v>69</v>
      </c>
      <c r="F67" s="115"/>
      <c r="G67" s="316">
        <v>0.41451700000000002</v>
      </c>
      <c r="H67" s="308">
        <v>0.41451700000000002</v>
      </c>
      <c r="I67" s="308">
        <v>0.41451700000000002</v>
      </c>
      <c r="J67" s="308">
        <v>0.41451700000000002</v>
      </c>
      <c r="K67" s="308">
        <v>0.41451700000000002</v>
      </c>
      <c r="L67" s="308">
        <v>0.41451700000000002</v>
      </c>
      <c r="M67" s="308">
        <v>0.41451700000000002</v>
      </c>
      <c r="N67" s="308">
        <v>0.41451700000000002</v>
      </c>
      <c r="O67" s="308">
        <v>0.41451700000000002</v>
      </c>
      <c r="P67" s="309">
        <v>0.41451700000000002</v>
      </c>
      <c r="Q67" s="396"/>
    </row>
    <row r="68" spans="1:17" x14ac:dyDescent="0.3">
      <c r="A68" s="64"/>
      <c r="B68" s="396"/>
      <c r="C68" s="12"/>
      <c r="D68" s="216" t="s">
        <v>70</v>
      </c>
      <c r="E68" s="301" t="s">
        <v>71</v>
      </c>
      <c r="F68" s="115"/>
      <c r="G68" s="316">
        <v>0.26483400000000001</v>
      </c>
      <c r="H68" s="308">
        <v>0.26483400000000001</v>
      </c>
      <c r="I68" s="308">
        <v>0.26483400000000001</v>
      </c>
      <c r="J68" s="308">
        <v>0.26483400000000001</v>
      </c>
      <c r="K68" s="308">
        <v>0.26483400000000001</v>
      </c>
      <c r="L68" s="308">
        <v>0.26483400000000001</v>
      </c>
      <c r="M68" s="308">
        <v>0.26483400000000001</v>
      </c>
      <c r="N68" s="308">
        <v>0.26483400000000001</v>
      </c>
      <c r="O68" s="308">
        <v>0.26483400000000001</v>
      </c>
      <c r="P68" s="309">
        <v>0.26483400000000001</v>
      </c>
      <c r="Q68" s="396"/>
    </row>
    <row r="69" spans="1:17" x14ac:dyDescent="0.3">
      <c r="A69" s="64"/>
      <c r="B69" s="396"/>
      <c r="C69" s="12"/>
      <c r="D69" s="12"/>
      <c r="E69" s="124"/>
      <c r="F69" s="115"/>
      <c r="G69" s="426"/>
      <c r="H69" s="427"/>
      <c r="I69" s="427"/>
      <c r="J69" s="427"/>
      <c r="K69" s="427"/>
      <c r="L69" s="427"/>
      <c r="M69" s="427"/>
      <c r="N69" s="427"/>
      <c r="O69" s="427"/>
      <c r="P69" s="428"/>
      <c r="Q69" s="396"/>
    </row>
    <row r="70" spans="1:17" x14ac:dyDescent="0.3">
      <c r="A70" s="64"/>
      <c r="B70" s="55"/>
      <c r="C70" s="55" t="s">
        <v>72</v>
      </c>
      <c r="D70" s="55"/>
      <c r="E70" s="32"/>
      <c r="F70" s="55"/>
      <c r="G70" s="77"/>
      <c r="H70" s="143"/>
      <c r="I70" s="143"/>
      <c r="J70" s="143"/>
      <c r="K70" s="143"/>
      <c r="L70" s="143"/>
      <c r="M70" s="143"/>
      <c r="N70" s="143"/>
      <c r="O70" s="143"/>
      <c r="P70" s="144"/>
      <c r="Q70" s="396"/>
    </row>
    <row r="71" spans="1:17" x14ac:dyDescent="0.3">
      <c r="A71" s="64"/>
      <c r="B71" s="396"/>
      <c r="C71" s="12"/>
      <c r="D71" s="216" t="s">
        <v>73</v>
      </c>
      <c r="E71" s="301" t="s">
        <v>3</v>
      </c>
      <c r="F71" s="115"/>
      <c r="G71" s="313">
        <v>37</v>
      </c>
      <c r="H71" s="314">
        <v>37</v>
      </c>
      <c r="I71" s="314">
        <v>37</v>
      </c>
      <c r="J71" s="314">
        <v>37</v>
      </c>
      <c r="K71" s="314">
        <v>37</v>
      </c>
      <c r="L71" s="314">
        <v>32</v>
      </c>
      <c r="M71" s="314">
        <v>32</v>
      </c>
      <c r="N71" s="314">
        <v>32</v>
      </c>
      <c r="O71" s="314">
        <v>32</v>
      </c>
      <c r="P71" s="315">
        <v>32</v>
      </c>
      <c r="Q71" s="396"/>
    </row>
    <row r="72" spans="1:17" x14ac:dyDescent="0.3">
      <c r="A72" s="64"/>
      <c r="B72" s="396"/>
      <c r="C72" s="12"/>
      <c r="D72" s="216" t="s">
        <v>74</v>
      </c>
      <c r="E72" s="301" t="s">
        <v>3</v>
      </c>
      <c r="F72" s="115"/>
      <c r="G72" s="313">
        <v>66</v>
      </c>
      <c r="H72" s="314">
        <v>66</v>
      </c>
      <c r="I72" s="314">
        <v>66</v>
      </c>
      <c r="J72" s="314">
        <v>71</v>
      </c>
      <c r="K72" s="314">
        <v>71</v>
      </c>
      <c r="L72" s="314">
        <v>71</v>
      </c>
      <c r="M72" s="314">
        <v>76</v>
      </c>
      <c r="N72" s="314">
        <v>76</v>
      </c>
      <c r="O72" s="314">
        <v>81</v>
      </c>
      <c r="P72" s="315">
        <v>81</v>
      </c>
      <c r="Q72" s="396"/>
    </row>
    <row r="73" spans="1:17" x14ac:dyDescent="0.3">
      <c r="A73" s="64"/>
      <c r="B73" s="396"/>
      <c r="C73" s="12"/>
      <c r="D73" s="216" t="s">
        <v>75</v>
      </c>
      <c r="E73" s="301" t="s">
        <v>76</v>
      </c>
      <c r="F73" s="115"/>
      <c r="G73" s="313">
        <v>13917</v>
      </c>
      <c r="H73" s="477"/>
      <c r="I73" s="477"/>
      <c r="J73" s="477"/>
      <c r="K73" s="477"/>
      <c r="L73" s="477"/>
      <c r="M73" s="477"/>
      <c r="N73" s="477"/>
      <c r="O73" s="477"/>
      <c r="P73" s="478"/>
      <c r="Q73" s="396"/>
    </row>
    <row r="74" spans="1:17" x14ac:dyDescent="0.3">
      <c r="A74" s="64"/>
      <c r="B74" s="396"/>
      <c r="C74" s="12"/>
      <c r="D74" s="216" t="s">
        <v>77</v>
      </c>
      <c r="E74" s="301" t="s">
        <v>3</v>
      </c>
      <c r="F74" s="115"/>
      <c r="G74" s="313">
        <v>53</v>
      </c>
      <c r="H74" s="314">
        <v>53</v>
      </c>
      <c r="I74" s="314">
        <v>53</v>
      </c>
      <c r="J74" s="314">
        <v>53</v>
      </c>
      <c r="K74" s="314">
        <v>53</v>
      </c>
      <c r="L74" s="314">
        <v>48</v>
      </c>
      <c r="M74" s="314">
        <v>48</v>
      </c>
      <c r="N74" s="314">
        <v>48</v>
      </c>
      <c r="O74" s="314">
        <v>48</v>
      </c>
      <c r="P74" s="315">
        <v>48</v>
      </c>
      <c r="Q74" s="396"/>
    </row>
    <row r="75" spans="1:17" x14ac:dyDescent="0.3">
      <c r="A75" s="64"/>
      <c r="B75" s="398"/>
      <c r="C75" s="27"/>
      <c r="D75" s="220" t="s">
        <v>78</v>
      </c>
      <c r="E75" s="286" t="s">
        <v>62</v>
      </c>
      <c r="F75" s="72"/>
      <c r="G75" s="310">
        <v>5.0562999999999997E-2</v>
      </c>
      <c r="H75" s="311">
        <v>5.0562999999999997E-2</v>
      </c>
      <c r="I75" s="311">
        <v>5.0562999999999997E-2</v>
      </c>
      <c r="J75" s="311">
        <v>5.0562999999999997E-2</v>
      </c>
      <c r="K75" s="311">
        <v>5.0562999999999997E-2</v>
      </c>
      <c r="L75" s="311">
        <v>5.0562999999999997E-2</v>
      </c>
      <c r="M75" s="311">
        <v>5.0562999999999997E-2</v>
      </c>
      <c r="N75" s="311">
        <v>5.0562999999999997E-2</v>
      </c>
      <c r="O75" s="311">
        <v>5.0562999999999997E-2</v>
      </c>
      <c r="P75" s="312">
        <v>5.0562999999999997E-2</v>
      </c>
      <c r="Q75" s="396"/>
    </row>
    <row r="76" spans="1:17" x14ac:dyDescent="0.3">
      <c r="A76" s="64"/>
      <c r="B76" s="396"/>
      <c r="C76" s="12"/>
      <c r="D76" s="216" t="s">
        <v>79</v>
      </c>
      <c r="E76" s="302" t="str">
        <f>'Control Center'!$F$10</f>
        <v>USD</v>
      </c>
      <c r="F76" s="115"/>
      <c r="G76" s="313">
        <v>6975</v>
      </c>
      <c r="H76" s="314">
        <v>8719</v>
      </c>
      <c r="I76" s="314">
        <v>10463</v>
      </c>
      <c r="J76" s="314">
        <v>10463</v>
      </c>
      <c r="K76" s="314">
        <v>13078</v>
      </c>
      <c r="L76" s="314">
        <v>15694</v>
      </c>
      <c r="M76" s="314">
        <v>13078</v>
      </c>
      <c r="N76" s="314">
        <v>10463</v>
      </c>
      <c r="O76" s="314">
        <v>8719</v>
      </c>
      <c r="P76" s="315">
        <v>6975</v>
      </c>
      <c r="Q76" s="396"/>
    </row>
    <row r="77" spans="1:17" x14ac:dyDescent="0.3">
      <c r="A77" s="64"/>
      <c r="B77" s="396"/>
      <c r="C77" s="12"/>
      <c r="D77" s="12"/>
      <c r="E77" s="124"/>
      <c r="F77" s="115"/>
      <c r="G77" s="426"/>
      <c r="H77" s="427"/>
      <c r="I77" s="427"/>
      <c r="J77" s="427"/>
      <c r="K77" s="427"/>
      <c r="L77" s="427"/>
      <c r="M77" s="427"/>
      <c r="N77" s="427"/>
      <c r="O77" s="427"/>
      <c r="P77" s="428"/>
      <c r="Q77" s="396"/>
    </row>
    <row r="78" spans="1:17" x14ac:dyDescent="0.3">
      <c r="A78" s="64"/>
      <c r="B78" s="55"/>
      <c r="C78" s="55" t="s">
        <v>80</v>
      </c>
      <c r="D78" s="55"/>
      <c r="E78" s="32"/>
      <c r="F78" s="55"/>
      <c r="G78" s="77"/>
      <c r="H78" s="143"/>
      <c r="I78" s="143"/>
      <c r="J78" s="143"/>
      <c r="K78" s="143"/>
      <c r="L78" s="143"/>
      <c r="M78" s="143"/>
      <c r="N78" s="143"/>
      <c r="O78" s="143"/>
      <c r="P78" s="144"/>
      <c r="Q78" s="396"/>
    </row>
    <row r="79" spans="1:17" x14ac:dyDescent="0.3">
      <c r="A79" s="64"/>
      <c r="B79" s="396"/>
      <c r="C79" s="12"/>
      <c r="D79" s="216" t="s">
        <v>81</v>
      </c>
      <c r="E79" s="301" t="s">
        <v>4</v>
      </c>
      <c r="F79" s="115"/>
      <c r="G79" s="316">
        <v>6.2939999999999996E-2</v>
      </c>
      <c r="H79" s="308">
        <v>6.2939999999999996E-2</v>
      </c>
      <c r="I79" s="308">
        <v>6.2939999999999996E-2</v>
      </c>
      <c r="J79" s="308">
        <v>6.2939999999999996E-2</v>
      </c>
      <c r="K79" s="308">
        <v>6.2939999999999996E-2</v>
      </c>
      <c r="L79" s="308">
        <v>6.2939999999999996E-2</v>
      </c>
      <c r="M79" s="308">
        <v>6.2939999999999996E-2</v>
      </c>
      <c r="N79" s="308">
        <v>6.2939999999999996E-2</v>
      </c>
      <c r="O79" s="308">
        <v>6.2939999999999996E-2</v>
      </c>
      <c r="P79" s="309">
        <v>6.2939999999999996E-2</v>
      </c>
      <c r="Q79" s="396"/>
    </row>
    <row r="80" spans="1:17" x14ac:dyDescent="0.3">
      <c r="A80" s="64"/>
      <c r="B80" s="396"/>
      <c r="C80" s="12"/>
      <c r="D80" s="216" t="s">
        <v>82</v>
      </c>
      <c r="E80" s="301" t="s">
        <v>83</v>
      </c>
      <c r="F80" s="115"/>
      <c r="G80" s="313">
        <v>70860</v>
      </c>
      <c r="H80" s="479"/>
      <c r="I80" s="479"/>
      <c r="J80" s="479"/>
      <c r="K80" s="479"/>
      <c r="L80" s="479"/>
      <c r="M80" s="479"/>
      <c r="N80" s="479"/>
      <c r="O80" s="479"/>
      <c r="P80" s="480"/>
      <c r="Q80" s="396"/>
    </row>
    <row r="81" spans="1:17" x14ac:dyDescent="0.3">
      <c r="A81" s="64"/>
      <c r="B81" s="396"/>
      <c r="C81" s="12"/>
      <c r="D81" s="216" t="s">
        <v>84</v>
      </c>
      <c r="E81" s="301" t="s">
        <v>1</v>
      </c>
      <c r="F81" s="115"/>
      <c r="G81" s="313">
        <v>92803</v>
      </c>
      <c r="H81" s="314">
        <v>92803</v>
      </c>
      <c r="I81" s="314">
        <v>92803</v>
      </c>
      <c r="J81" s="314">
        <v>92803</v>
      </c>
      <c r="K81" s="314">
        <v>92803</v>
      </c>
      <c r="L81" s="314">
        <v>92803</v>
      </c>
      <c r="M81" s="314">
        <v>92803</v>
      </c>
      <c r="N81" s="314">
        <v>92803</v>
      </c>
      <c r="O81" s="314">
        <v>92803</v>
      </c>
      <c r="P81" s="315">
        <v>92803</v>
      </c>
      <c r="Q81" s="396"/>
    </row>
    <row r="82" spans="1:17" x14ac:dyDescent="0.3">
      <c r="A82" s="64"/>
      <c r="B82" s="396"/>
      <c r="C82" s="12"/>
      <c r="D82" s="216" t="s">
        <v>85</v>
      </c>
      <c r="E82" s="302" t="str">
        <f>'Control Center'!$F$10</f>
        <v>USD</v>
      </c>
      <c r="F82" s="115"/>
      <c r="G82" s="313">
        <v>-5497</v>
      </c>
      <c r="H82" s="314">
        <v>-5497</v>
      </c>
      <c r="I82" s="314">
        <v>-5497</v>
      </c>
      <c r="J82" s="314">
        <v>-5497</v>
      </c>
      <c r="K82" s="314">
        <v>-5497</v>
      </c>
      <c r="L82" s="314">
        <v>-5497</v>
      </c>
      <c r="M82" s="314">
        <v>-5497</v>
      </c>
      <c r="N82" s="314">
        <v>-5497</v>
      </c>
      <c r="O82" s="314">
        <v>-5497</v>
      </c>
      <c r="P82" s="315">
        <v>-5497</v>
      </c>
      <c r="Q82" s="396"/>
    </row>
    <row r="83" spans="1:17" x14ac:dyDescent="0.3">
      <c r="A83" s="64"/>
      <c r="B83" s="396"/>
      <c r="C83" s="12"/>
      <c r="D83" s="216" t="s">
        <v>86</v>
      </c>
      <c r="E83" s="302" t="str">
        <f>'Control Center'!$F$10</f>
        <v>USD</v>
      </c>
      <c r="F83" s="115"/>
      <c r="G83" s="481"/>
      <c r="H83" s="314">
        <v>0</v>
      </c>
      <c r="I83" s="477"/>
      <c r="J83" s="477"/>
      <c r="K83" s="477"/>
      <c r="L83" s="477"/>
      <c r="M83" s="477"/>
      <c r="N83" s="477"/>
      <c r="O83" s="477"/>
      <c r="P83" s="478"/>
      <c r="Q83" s="396"/>
    </row>
    <row r="84" spans="1:17" x14ac:dyDescent="0.3">
      <c r="A84" s="64"/>
      <c r="B84" s="398"/>
      <c r="C84" s="27"/>
      <c r="D84" s="220" t="s">
        <v>87</v>
      </c>
      <c r="E84" s="286" t="s">
        <v>88</v>
      </c>
      <c r="F84" s="72"/>
      <c r="G84" s="310">
        <v>0.149393</v>
      </c>
      <c r="H84" s="311">
        <v>0.149393</v>
      </c>
      <c r="I84" s="311">
        <v>0.149393</v>
      </c>
      <c r="J84" s="311">
        <v>0.149393</v>
      </c>
      <c r="K84" s="311">
        <v>0.149393</v>
      </c>
      <c r="L84" s="311">
        <v>0.149393</v>
      </c>
      <c r="M84" s="311">
        <v>0.149393</v>
      </c>
      <c r="N84" s="311">
        <v>0.149393</v>
      </c>
      <c r="O84" s="311">
        <v>0.149393</v>
      </c>
      <c r="P84" s="312">
        <v>0.149393</v>
      </c>
      <c r="Q84" s="396"/>
    </row>
    <row r="85" spans="1:17" x14ac:dyDescent="0.3">
      <c r="A85" s="64"/>
      <c r="B85" s="396"/>
      <c r="C85" s="92"/>
      <c r="D85" s="92"/>
      <c r="E85" s="92"/>
      <c r="F85" s="11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96"/>
    </row>
    <row r="86" spans="1:17" x14ac:dyDescent="0.3">
      <c r="A86" s="64"/>
      <c r="B86" s="55"/>
      <c r="C86" s="146" t="s">
        <v>90</v>
      </c>
      <c r="D86" s="146"/>
      <c r="E86" s="146"/>
      <c r="F86" s="146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396"/>
    </row>
    <row r="87" spans="1:17" x14ac:dyDescent="0.3">
      <c r="A87" s="64"/>
      <c r="B87" s="33"/>
      <c r="C87" s="33" t="s">
        <v>54</v>
      </c>
      <c r="D87" s="33"/>
      <c r="E87" s="33"/>
      <c r="F87" s="33"/>
      <c r="G87" s="147"/>
      <c r="H87" s="148"/>
      <c r="I87" s="148"/>
      <c r="J87" s="148"/>
      <c r="K87" s="148"/>
      <c r="L87" s="148"/>
      <c r="M87" s="148"/>
      <c r="N87" s="148"/>
      <c r="O87" s="148"/>
      <c r="P87" s="149"/>
      <c r="Q87" s="396"/>
    </row>
    <row r="88" spans="1:17" x14ac:dyDescent="0.3">
      <c r="A88" s="64"/>
      <c r="B88" s="396"/>
      <c r="C88" s="12"/>
      <c r="D88" s="216" t="s">
        <v>55</v>
      </c>
      <c r="E88" s="301" t="s">
        <v>56</v>
      </c>
      <c r="F88" s="115"/>
      <c r="G88" s="116"/>
      <c r="H88" s="308">
        <v>8.2932000000000006E-2</v>
      </c>
      <c r="I88" s="308">
        <v>7.2566000000000005E-2</v>
      </c>
      <c r="J88" s="308">
        <v>6.2198999999999997E-2</v>
      </c>
      <c r="K88" s="308">
        <v>5.1832999999999997E-2</v>
      </c>
      <c r="L88" s="308">
        <v>5.1832999999999997E-2</v>
      </c>
      <c r="M88" s="308">
        <v>4.1466000000000003E-2</v>
      </c>
      <c r="N88" s="308">
        <v>4.1466000000000003E-2</v>
      </c>
      <c r="O88" s="308">
        <v>3.1099999999999999E-2</v>
      </c>
      <c r="P88" s="309">
        <v>3.1099999999999999E-2</v>
      </c>
      <c r="Q88" s="396"/>
    </row>
    <row r="89" spans="1:17" x14ac:dyDescent="0.3">
      <c r="A89" s="64"/>
      <c r="B89" s="396"/>
      <c r="C89" s="12"/>
      <c r="D89" s="216" t="s">
        <v>57</v>
      </c>
      <c r="E89" s="301" t="s">
        <v>58</v>
      </c>
      <c r="F89" s="115"/>
      <c r="G89" s="116"/>
      <c r="H89" s="308">
        <v>0.17096600000000001</v>
      </c>
      <c r="I89" s="308">
        <v>0.17096600000000001</v>
      </c>
      <c r="J89" s="308">
        <v>0.161468</v>
      </c>
      <c r="K89" s="308">
        <v>0.161468</v>
      </c>
      <c r="L89" s="308">
        <v>0.161468</v>
      </c>
      <c r="M89" s="308">
        <v>0.15196899999999999</v>
      </c>
      <c r="N89" s="308">
        <v>0.15196899999999999</v>
      </c>
      <c r="O89" s="308">
        <v>0.15196899999999999</v>
      </c>
      <c r="P89" s="309">
        <v>0.14247099999999999</v>
      </c>
      <c r="Q89" s="396"/>
    </row>
    <row r="90" spans="1:17" x14ac:dyDescent="0.3">
      <c r="A90" s="64"/>
      <c r="B90" s="396"/>
      <c r="C90" s="12"/>
      <c r="D90" s="216" t="s">
        <v>59</v>
      </c>
      <c r="E90" s="301" t="s">
        <v>60</v>
      </c>
      <c r="F90" s="115"/>
      <c r="G90" s="116"/>
      <c r="H90" s="308">
        <v>0.44233600000000001</v>
      </c>
      <c r="I90" s="308">
        <v>0.42021900000000001</v>
      </c>
      <c r="J90" s="308">
        <v>0.409161</v>
      </c>
      <c r="K90" s="308">
        <v>0.39810299999999998</v>
      </c>
      <c r="L90" s="308">
        <v>0.387044</v>
      </c>
      <c r="M90" s="308">
        <v>0.387044</v>
      </c>
      <c r="N90" s="308">
        <v>0.37598599999999999</v>
      </c>
      <c r="O90" s="308">
        <v>0.37598599999999999</v>
      </c>
      <c r="P90" s="309">
        <v>0.364927</v>
      </c>
      <c r="Q90" s="396"/>
    </row>
    <row r="91" spans="1:17" x14ac:dyDescent="0.3">
      <c r="A91" s="64"/>
      <c r="B91" s="398"/>
      <c r="C91" s="27"/>
      <c r="D91" s="220" t="s">
        <v>61</v>
      </c>
      <c r="E91" s="286" t="s">
        <v>62</v>
      </c>
      <c r="F91" s="72"/>
      <c r="G91" s="310">
        <v>0.158474</v>
      </c>
      <c r="H91" s="311">
        <v>0.158474</v>
      </c>
      <c r="I91" s="311">
        <v>0.158474</v>
      </c>
      <c r="J91" s="311">
        <v>0.158474</v>
      </c>
      <c r="K91" s="311">
        <v>0.158474</v>
      </c>
      <c r="L91" s="311">
        <v>0.158474</v>
      </c>
      <c r="M91" s="311">
        <v>0.158474</v>
      </c>
      <c r="N91" s="311">
        <v>0.158474</v>
      </c>
      <c r="O91" s="311">
        <v>0.158474</v>
      </c>
      <c r="P91" s="312">
        <v>0.158474</v>
      </c>
      <c r="Q91" s="396"/>
    </row>
    <row r="92" spans="1:17" x14ac:dyDescent="0.3">
      <c r="A92" s="64"/>
      <c r="B92" s="398"/>
      <c r="C92" s="27"/>
      <c r="D92" s="220" t="s">
        <v>63</v>
      </c>
      <c r="E92" s="286" t="s">
        <v>62</v>
      </c>
      <c r="F92" s="72"/>
      <c r="G92" s="310">
        <v>9.8443000000000003E-2</v>
      </c>
      <c r="H92" s="311">
        <v>9.0239E-2</v>
      </c>
      <c r="I92" s="311">
        <v>8.2035999999999998E-2</v>
      </c>
      <c r="J92" s="311">
        <v>8.2035999999999998E-2</v>
      </c>
      <c r="K92" s="311">
        <v>7.3831999999999995E-2</v>
      </c>
      <c r="L92" s="311">
        <v>7.3831999999999995E-2</v>
      </c>
      <c r="M92" s="311">
        <v>6.5629000000000007E-2</v>
      </c>
      <c r="N92" s="311">
        <v>6.5629000000000007E-2</v>
      </c>
      <c r="O92" s="311">
        <v>6.5629000000000007E-2</v>
      </c>
      <c r="P92" s="312">
        <v>5.7424999999999997E-2</v>
      </c>
      <c r="Q92" s="396"/>
    </row>
    <row r="93" spans="1:17" x14ac:dyDescent="0.3">
      <c r="A93" s="64"/>
      <c r="B93" s="396"/>
      <c r="C93" s="12"/>
      <c r="D93" s="216" t="s">
        <v>64</v>
      </c>
      <c r="E93" s="302" t="str">
        <f>'Control Center'!$F$10</f>
        <v>USD</v>
      </c>
      <c r="F93" s="115"/>
      <c r="G93" s="313">
        <v>41113</v>
      </c>
      <c r="H93" s="314">
        <v>41113</v>
      </c>
      <c r="I93" s="314">
        <v>41113</v>
      </c>
      <c r="J93" s="314">
        <v>41113</v>
      </c>
      <c r="K93" s="314">
        <v>41113</v>
      </c>
      <c r="L93" s="314">
        <v>41113</v>
      </c>
      <c r="M93" s="314">
        <v>41113</v>
      </c>
      <c r="N93" s="314">
        <v>41113</v>
      </c>
      <c r="O93" s="314">
        <v>41113</v>
      </c>
      <c r="P93" s="315">
        <v>41113</v>
      </c>
      <c r="Q93" s="396"/>
    </row>
    <row r="94" spans="1:17" x14ac:dyDescent="0.3">
      <c r="A94" s="64"/>
      <c r="B94" s="398"/>
      <c r="C94" s="27"/>
      <c r="D94" s="220" t="s">
        <v>65</v>
      </c>
      <c r="E94" s="286" t="s">
        <v>62</v>
      </c>
      <c r="F94" s="72"/>
      <c r="G94" s="310">
        <v>4.3168999999999999E-2</v>
      </c>
      <c r="H94" s="311">
        <v>4.3168999999999999E-2</v>
      </c>
      <c r="I94" s="311">
        <v>3.7773000000000001E-2</v>
      </c>
      <c r="J94" s="311">
        <v>3.7773000000000001E-2</v>
      </c>
      <c r="K94" s="311">
        <v>3.7773000000000001E-2</v>
      </c>
      <c r="L94" s="311">
        <v>3.2377000000000003E-2</v>
      </c>
      <c r="M94" s="311">
        <v>3.2377000000000003E-2</v>
      </c>
      <c r="N94" s="311">
        <v>3.2377000000000003E-2</v>
      </c>
      <c r="O94" s="311">
        <v>3.2377000000000003E-2</v>
      </c>
      <c r="P94" s="312">
        <v>2.6981000000000002E-2</v>
      </c>
      <c r="Q94" s="396"/>
    </row>
    <row r="95" spans="1:17" x14ac:dyDescent="0.3">
      <c r="A95" s="64"/>
      <c r="B95" s="396"/>
      <c r="C95" s="12"/>
      <c r="D95" s="216" t="s">
        <v>66</v>
      </c>
      <c r="E95" s="302" t="str">
        <f>'Control Center'!$F$10</f>
        <v>USD</v>
      </c>
      <c r="F95" s="115"/>
      <c r="G95" s="313">
        <v>31054</v>
      </c>
      <c r="H95" s="314">
        <v>31054</v>
      </c>
      <c r="I95" s="314">
        <v>31054</v>
      </c>
      <c r="J95" s="314">
        <v>31054</v>
      </c>
      <c r="K95" s="314">
        <v>31054</v>
      </c>
      <c r="L95" s="314">
        <v>31054</v>
      </c>
      <c r="M95" s="314">
        <v>31054</v>
      </c>
      <c r="N95" s="314">
        <v>31054</v>
      </c>
      <c r="O95" s="314">
        <v>31054</v>
      </c>
      <c r="P95" s="315">
        <v>31054</v>
      </c>
      <c r="Q95" s="396"/>
    </row>
    <row r="96" spans="1:17" x14ac:dyDescent="0.3">
      <c r="A96" s="64"/>
      <c r="B96" s="398"/>
      <c r="C96" s="27"/>
      <c r="D96" s="220" t="s">
        <v>67</v>
      </c>
      <c r="E96" s="286" t="s">
        <v>62</v>
      </c>
      <c r="F96" s="72"/>
      <c r="G96" s="310">
        <v>9.0609999999999996E-3</v>
      </c>
      <c r="H96" s="311">
        <v>9.0609999999999996E-3</v>
      </c>
      <c r="I96" s="311">
        <v>9.0609999999999996E-3</v>
      </c>
      <c r="J96" s="311">
        <v>9.0609999999999996E-3</v>
      </c>
      <c r="K96" s="311">
        <v>9.0609999999999996E-3</v>
      </c>
      <c r="L96" s="311">
        <v>9.0609999999999996E-3</v>
      </c>
      <c r="M96" s="311">
        <v>9.0609999999999996E-3</v>
      </c>
      <c r="N96" s="311">
        <v>9.0609999999999996E-3</v>
      </c>
      <c r="O96" s="311">
        <v>9.0609999999999996E-3</v>
      </c>
      <c r="P96" s="312">
        <v>9.0609999999999996E-3</v>
      </c>
      <c r="Q96" s="396"/>
    </row>
    <row r="97" spans="1:17" x14ac:dyDescent="0.3">
      <c r="A97" s="64"/>
      <c r="B97" s="396"/>
      <c r="C97" s="12"/>
      <c r="D97" s="216" t="s">
        <v>68</v>
      </c>
      <c r="E97" s="301" t="s">
        <v>69</v>
      </c>
      <c r="F97" s="115"/>
      <c r="G97" s="316">
        <v>0.37586999999999998</v>
      </c>
      <c r="H97" s="308">
        <v>0.37586999999999998</v>
      </c>
      <c r="I97" s="308">
        <v>0.37586999999999998</v>
      </c>
      <c r="J97" s="308">
        <v>0.37586999999999998</v>
      </c>
      <c r="K97" s="308">
        <v>0.37586999999999998</v>
      </c>
      <c r="L97" s="308">
        <v>0.37586999999999998</v>
      </c>
      <c r="M97" s="308">
        <v>0.37586999999999998</v>
      </c>
      <c r="N97" s="308">
        <v>0.37586999999999998</v>
      </c>
      <c r="O97" s="308">
        <v>0.37586999999999998</v>
      </c>
      <c r="P97" s="309">
        <v>0.37586999999999998</v>
      </c>
      <c r="Q97" s="396"/>
    </row>
    <row r="98" spans="1:17" x14ac:dyDescent="0.3">
      <c r="A98" s="64"/>
      <c r="B98" s="396"/>
      <c r="C98" s="12"/>
      <c r="D98" s="216" t="s">
        <v>70</v>
      </c>
      <c r="E98" s="301" t="s">
        <v>71</v>
      </c>
      <c r="F98" s="115"/>
      <c r="G98" s="316">
        <v>0.22961999999999999</v>
      </c>
      <c r="H98" s="308">
        <v>0.22961999999999999</v>
      </c>
      <c r="I98" s="308">
        <v>0.22961999999999999</v>
      </c>
      <c r="J98" s="308">
        <v>0.22961999999999999</v>
      </c>
      <c r="K98" s="308">
        <v>0.22961999999999999</v>
      </c>
      <c r="L98" s="308">
        <v>0.22961999999999999</v>
      </c>
      <c r="M98" s="308">
        <v>0.22961999999999999</v>
      </c>
      <c r="N98" s="308">
        <v>0.22961999999999999</v>
      </c>
      <c r="O98" s="308">
        <v>0.22961999999999999</v>
      </c>
      <c r="P98" s="309">
        <v>0.22961999999999999</v>
      </c>
      <c r="Q98" s="396"/>
    </row>
    <row r="99" spans="1:17" x14ac:dyDescent="0.3">
      <c r="A99" s="64"/>
      <c r="B99" s="396"/>
      <c r="C99" s="12"/>
      <c r="D99" s="12"/>
      <c r="E99" s="124"/>
      <c r="F99" s="115"/>
      <c r="G99" s="426"/>
      <c r="H99" s="427"/>
      <c r="I99" s="427"/>
      <c r="J99" s="427"/>
      <c r="K99" s="427"/>
      <c r="L99" s="427"/>
      <c r="M99" s="427"/>
      <c r="N99" s="427"/>
      <c r="O99" s="427"/>
      <c r="P99" s="428"/>
      <c r="Q99" s="396"/>
    </row>
    <row r="100" spans="1:17" x14ac:dyDescent="0.3">
      <c r="A100" s="64"/>
      <c r="B100" s="55"/>
      <c r="C100" s="55" t="s">
        <v>72</v>
      </c>
      <c r="D100" s="55"/>
      <c r="E100" s="32"/>
      <c r="F100" s="55"/>
      <c r="G100" s="77"/>
      <c r="H100" s="143"/>
      <c r="I100" s="143"/>
      <c r="J100" s="143"/>
      <c r="K100" s="143"/>
      <c r="L100" s="143"/>
      <c r="M100" s="143"/>
      <c r="N100" s="143"/>
      <c r="O100" s="143"/>
      <c r="P100" s="144"/>
      <c r="Q100" s="396"/>
    </row>
    <row r="101" spans="1:17" x14ac:dyDescent="0.3">
      <c r="A101" s="64"/>
      <c r="B101" s="396"/>
      <c r="C101" s="12"/>
      <c r="D101" s="216" t="s">
        <v>73</v>
      </c>
      <c r="E101" s="301" t="s">
        <v>3</v>
      </c>
      <c r="F101" s="115"/>
      <c r="G101" s="313">
        <v>45</v>
      </c>
      <c r="H101" s="314">
        <v>45</v>
      </c>
      <c r="I101" s="314">
        <v>45</v>
      </c>
      <c r="J101" s="314">
        <v>45</v>
      </c>
      <c r="K101" s="314">
        <v>45</v>
      </c>
      <c r="L101" s="314">
        <v>40</v>
      </c>
      <c r="M101" s="314">
        <v>40</v>
      </c>
      <c r="N101" s="314">
        <v>40</v>
      </c>
      <c r="O101" s="314">
        <v>40</v>
      </c>
      <c r="P101" s="315">
        <v>40</v>
      </c>
      <c r="Q101" s="396"/>
    </row>
    <row r="102" spans="1:17" x14ac:dyDescent="0.3">
      <c r="A102" s="64"/>
      <c r="B102" s="396"/>
      <c r="C102" s="12"/>
      <c r="D102" s="216" t="s">
        <v>74</v>
      </c>
      <c r="E102" s="301" t="s">
        <v>3</v>
      </c>
      <c r="F102" s="115"/>
      <c r="G102" s="313">
        <v>63</v>
      </c>
      <c r="H102" s="314">
        <v>63</v>
      </c>
      <c r="I102" s="314">
        <v>63</v>
      </c>
      <c r="J102" s="314">
        <v>68</v>
      </c>
      <c r="K102" s="314">
        <v>68</v>
      </c>
      <c r="L102" s="314">
        <v>68</v>
      </c>
      <c r="M102" s="314">
        <v>73</v>
      </c>
      <c r="N102" s="314">
        <v>73</v>
      </c>
      <c r="O102" s="314">
        <v>78</v>
      </c>
      <c r="P102" s="315">
        <v>78</v>
      </c>
      <c r="Q102" s="396"/>
    </row>
    <row r="103" spans="1:17" x14ac:dyDescent="0.3">
      <c r="A103" s="64"/>
      <c r="B103" s="396"/>
      <c r="C103" s="12"/>
      <c r="D103" s="216" t="s">
        <v>75</v>
      </c>
      <c r="E103" s="301" t="s">
        <v>76</v>
      </c>
      <c r="F103" s="115"/>
      <c r="G103" s="313">
        <v>15666</v>
      </c>
      <c r="H103" s="477"/>
      <c r="I103" s="477"/>
      <c r="J103" s="477"/>
      <c r="K103" s="477"/>
      <c r="L103" s="477"/>
      <c r="M103" s="477"/>
      <c r="N103" s="477"/>
      <c r="O103" s="477"/>
      <c r="P103" s="478"/>
      <c r="Q103" s="396"/>
    </row>
    <row r="104" spans="1:17" x14ac:dyDescent="0.3">
      <c r="A104" s="64"/>
      <c r="B104" s="396"/>
      <c r="C104" s="12"/>
      <c r="D104" s="216" t="s">
        <v>77</v>
      </c>
      <c r="E104" s="301" t="s">
        <v>3</v>
      </c>
      <c r="F104" s="115"/>
      <c r="G104" s="313">
        <v>56</v>
      </c>
      <c r="H104" s="314">
        <v>56</v>
      </c>
      <c r="I104" s="314">
        <v>56</v>
      </c>
      <c r="J104" s="314">
        <v>56</v>
      </c>
      <c r="K104" s="314">
        <v>56</v>
      </c>
      <c r="L104" s="314">
        <v>50</v>
      </c>
      <c r="M104" s="314">
        <v>50</v>
      </c>
      <c r="N104" s="314">
        <v>50</v>
      </c>
      <c r="O104" s="314">
        <v>50</v>
      </c>
      <c r="P104" s="315">
        <v>50</v>
      </c>
      <c r="Q104" s="396"/>
    </row>
    <row r="105" spans="1:17" x14ac:dyDescent="0.3">
      <c r="A105" s="64"/>
      <c r="B105" s="398"/>
      <c r="C105" s="27"/>
      <c r="D105" s="220" t="s">
        <v>78</v>
      </c>
      <c r="E105" s="286" t="s">
        <v>62</v>
      </c>
      <c r="F105" s="72"/>
      <c r="G105" s="310">
        <v>3.9674000000000001E-2</v>
      </c>
      <c r="H105" s="311">
        <v>3.9674000000000001E-2</v>
      </c>
      <c r="I105" s="311">
        <v>3.9674000000000001E-2</v>
      </c>
      <c r="J105" s="311">
        <v>3.9674000000000001E-2</v>
      </c>
      <c r="K105" s="311">
        <v>3.9674000000000001E-2</v>
      </c>
      <c r="L105" s="311">
        <v>3.9674000000000001E-2</v>
      </c>
      <c r="M105" s="311">
        <v>3.9674000000000001E-2</v>
      </c>
      <c r="N105" s="311">
        <v>3.9674000000000001E-2</v>
      </c>
      <c r="O105" s="311">
        <v>3.9674000000000001E-2</v>
      </c>
      <c r="P105" s="312">
        <v>3.9674000000000001E-2</v>
      </c>
      <c r="Q105" s="396"/>
    </row>
    <row r="106" spans="1:17" x14ac:dyDescent="0.3">
      <c r="A106" s="64"/>
      <c r="B106" s="396"/>
      <c r="C106" s="12"/>
      <c r="D106" s="216" t="s">
        <v>79</v>
      </c>
      <c r="E106" s="302" t="str">
        <f>'Control Center'!$F$10</f>
        <v>USD</v>
      </c>
      <c r="F106" s="115"/>
      <c r="G106" s="313">
        <v>13398</v>
      </c>
      <c r="H106" s="314">
        <v>16747</v>
      </c>
      <c r="I106" s="314">
        <v>22330</v>
      </c>
      <c r="J106" s="314">
        <v>22330</v>
      </c>
      <c r="K106" s="314">
        <v>27912</v>
      </c>
      <c r="L106" s="314">
        <v>27912</v>
      </c>
      <c r="M106" s="314">
        <v>22330</v>
      </c>
      <c r="N106" s="314">
        <v>16747</v>
      </c>
      <c r="O106" s="314">
        <v>11165</v>
      </c>
      <c r="P106" s="315">
        <v>5582</v>
      </c>
      <c r="Q106" s="396"/>
    </row>
    <row r="107" spans="1:17" x14ac:dyDescent="0.3">
      <c r="A107" s="64"/>
      <c r="B107" s="396"/>
      <c r="C107" s="12"/>
      <c r="D107" s="12"/>
      <c r="E107" s="124"/>
      <c r="F107" s="115"/>
      <c r="G107" s="426"/>
      <c r="H107" s="427"/>
      <c r="I107" s="427"/>
      <c r="J107" s="427"/>
      <c r="K107" s="427"/>
      <c r="L107" s="427"/>
      <c r="M107" s="427"/>
      <c r="N107" s="427"/>
      <c r="O107" s="427"/>
      <c r="P107" s="428"/>
      <c r="Q107" s="396"/>
    </row>
    <row r="108" spans="1:17" x14ac:dyDescent="0.3">
      <c r="A108" s="64"/>
      <c r="B108" s="55"/>
      <c r="C108" s="55" t="s">
        <v>80</v>
      </c>
      <c r="D108" s="55"/>
      <c r="E108" s="32"/>
      <c r="F108" s="55"/>
      <c r="G108" s="77"/>
      <c r="H108" s="143"/>
      <c r="I108" s="143"/>
      <c r="J108" s="143"/>
      <c r="K108" s="143"/>
      <c r="L108" s="143"/>
      <c r="M108" s="143"/>
      <c r="N108" s="143"/>
      <c r="O108" s="143"/>
      <c r="P108" s="144"/>
      <c r="Q108" s="396"/>
    </row>
    <row r="109" spans="1:17" x14ac:dyDescent="0.3">
      <c r="A109" s="64"/>
      <c r="B109" s="396"/>
      <c r="C109" s="12"/>
      <c r="D109" s="216" t="s">
        <v>81</v>
      </c>
      <c r="E109" s="301" t="s">
        <v>4</v>
      </c>
      <c r="F109" s="115"/>
      <c r="G109" s="316">
        <v>4.6242999999999999E-2</v>
      </c>
      <c r="H109" s="308">
        <v>4.6242999999999999E-2</v>
      </c>
      <c r="I109" s="308">
        <v>4.6242999999999999E-2</v>
      </c>
      <c r="J109" s="308">
        <v>4.6242999999999999E-2</v>
      </c>
      <c r="K109" s="308">
        <v>4.6242999999999999E-2</v>
      </c>
      <c r="L109" s="308">
        <v>4.6242999999999999E-2</v>
      </c>
      <c r="M109" s="308">
        <v>4.6242999999999999E-2</v>
      </c>
      <c r="N109" s="308">
        <v>4.6242999999999999E-2</v>
      </c>
      <c r="O109" s="308">
        <v>4.6242999999999999E-2</v>
      </c>
      <c r="P109" s="309">
        <v>4.6242999999999999E-2</v>
      </c>
      <c r="Q109" s="396"/>
    </row>
    <row r="110" spans="1:17" x14ac:dyDescent="0.3">
      <c r="A110" s="64"/>
      <c r="B110" s="396"/>
      <c r="C110" s="12"/>
      <c r="D110" s="216" t="s">
        <v>82</v>
      </c>
      <c r="E110" s="301" t="s">
        <v>83</v>
      </c>
      <c r="F110" s="115"/>
      <c r="G110" s="313">
        <v>60220</v>
      </c>
      <c r="H110" s="479"/>
      <c r="I110" s="479"/>
      <c r="J110" s="479"/>
      <c r="K110" s="479"/>
      <c r="L110" s="479"/>
      <c r="M110" s="479"/>
      <c r="N110" s="479"/>
      <c r="O110" s="479"/>
      <c r="P110" s="480"/>
      <c r="Q110" s="396"/>
    </row>
    <row r="111" spans="1:17" x14ac:dyDescent="0.3">
      <c r="A111" s="64"/>
      <c r="B111" s="396"/>
      <c r="C111" s="12"/>
      <c r="D111" s="216" t="s">
        <v>84</v>
      </c>
      <c r="E111" s="301" t="s">
        <v>1</v>
      </c>
      <c r="F111" s="115"/>
      <c r="G111" s="313">
        <v>126895</v>
      </c>
      <c r="H111" s="314">
        <v>126895</v>
      </c>
      <c r="I111" s="314">
        <v>126895</v>
      </c>
      <c r="J111" s="314">
        <v>126895</v>
      </c>
      <c r="K111" s="314">
        <v>126895</v>
      </c>
      <c r="L111" s="314">
        <v>126895</v>
      </c>
      <c r="M111" s="314">
        <v>126895</v>
      </c>
      <c r="N111" s="314">
        <v>126895</v>
      </c>
      <c r="O111" s="314">
        <v>126895</v>
      </c>
      <c r="P111" s="315">
        <v>126895</v>
      </c>
      <c r="Q111" s="396"/>
    </row>
    <row r="112" spans="1:17" x14ac:dyDescent="0.3">
      <c r="A112" s="64"/>
      <c r="B112" s="396"/>
      <c r="C112" s="12"/>
      <c r="D112" s="216" t="s">
        <v>85</v>
      </c>
      <c r="E112" s="302" t="str">
        <f>'Control Center'!$F$10</f>
        <v>USD</v>
      </c>
      <c r="F112" s="115"/>
      <c r="G112" s="313">
        <v>-5589</v>
      </c>
      <c r="H112" s="314">
        <v>-5589</v>
      </c>
      <c r="I112" s="314">
        <v>-5589</v>
      </c>
      <c r="J112" s="314">
        <v>-5589</v>
      </c>
      <c r="K112" s="314">
        <v>-5589</v>
      </c>
      <c r="L112" s="314">
        <v>-5589</v>
      </c>
      <c r="M112" s="314">
        <v>-5589</v>
      </c>
      <c r="N112" s="314">
        <v>-5589</v>
      </c>
      <c r="O112" s="314">
        <v>-5589</v>
      </c>
      <c r="P112" s="315">
        <v>-5589</v>
      </c>
      <c r="Q112" s="396"/>
    </row>
    <row r="113" spans="1:17" x14ac:dyDescent="0.3">
      <c r="A113" s="64"/>
      <c r="B113" s="396"/>
      <c r="C113" s="12"/>
      <c r="D113" s="216" t="s">
        <v>86</v>
      </c>
      <c r="E113" s="302" t="str">
        <f>'Control Center'!$F$10</f>
        <v>USD</v>
      </c>
      <c r="F113" s="115"/>
      <c r="G113" s="313">
        <v>0</v>
      </c>
      <c r="H113" s="477"/>
      <c r="I113" s="477"/>
      <c r="J113" s="477"/>
      <c r="K113" s="477"/>
      <c r="L113" s="477"/>
      <c r="M113" s="477"/>
      <c r="N113" s="477"/>
      <c r="O113" s="477"/>
      <c r="P113" s="478"/>
      <c r="Q113" s="396"/>
    </row>
    <row r="114" spans="1:17" x14ac:dyDescent="0.3">
      <c r="A114" s="64"/>
      <c r="B114" s="398"/>
      <c r="C114" s="27"/>
      <c r="D114" s="220" t="s">
        <v>87</v>
      </c>
      <c r="E114" s="286" t="s">
        <v>88</v>
      </c>
      <c r="F114" s="72"/>
      <c r="G114" s="310">
        <v>0.12767899999999999</v>
      </c>
      <c r="H114" s="311">
        <v>0.12767899999999999</v>
      </c>
      <c r="I114" s="311">
        <v>0.12767899999999999</v>
      </c>
      <c r="J114" s="311">
        <v>0.12767899999999999</v>
      </c>
      <c r="K114" s="311">
        <v>0.12767899999999999</v>
      </c>
      <c r="L114" s="311">
        <v>0.12767899999999999</v>
      </c>
      <c r="M114" s="311">
        <v>0.12767899999999999</v>
      </c>
      <c r="N114" s="311">
        <v>0.12767899999999999</v>
      </c>
      <c r="O114" s="311">
        <v>0.12767899999999999</v>
      </c>
      <c r="P114" s="312">
        <v>0.12767899999999999</v>
      </c>
      <c r="Q114" s="396"/>
    </row>
    <row r="115" spans="1:17" x14ac:dyDescent="0.3">
      <c r="A115" s="64"/>
      <c r="B115" s="396"/>
      <c r="C115" s="92"/>
      <c r="D115" s="92"/>
      <c r="E115" s="92"/>
      <c r="F115" s="11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96"/>
    </row>
    <row r="116" spans="1:17" x14ac:dyDescent="0.3">
      <c r="A116" s="64"/>
      <c r="B116" s="55"/>
      <c r="C116" s="146" t="s">
        <v>91</v>
      </c>
      <c r="D116" s="146"/>
      <c r="E116" s="146"/>
      <c r="F116" s="146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396"/>
    </row>
    <row r="117" spans="1:17" x14ac:dyDescent="0.3">
      <c r="A117" s="64"/>
      <c r="B117" s="33"/>
      <c r="C117" s="33" t="s">
        <v>54</v>
      </c>
      <c r="D117" s="33"/>
      <c r="E117" s="33"/>
      <c r="F117" s="33"/>
      <c r="G117" s="147"/>
      <c r="H117" s="148"/>
      <c r="I117" s="148"/>
      <c r="J117" s="148"/>
      <c r="K117" s="148"/>
      <c r="L117" s="148"/>
      <c r="M117" s="148"/>
      <c r="N117" s="148"/>
      <c r="O117" s="148"/>
      <c r="P117" s="149"/>
      <c r="Q117" s="396"/>
    </row>
    <row r="118" spans="1:17" x14ac:dyDescent="0.3">
      <c r="A118" s="64"/>
      <c r="B118" s="396"/>
      <c r="C118" s="12"/>
      <c r="D118" s="216" t="s">
        <v>55</v>
      </c>
      <c r="E118" s="301" t="s">
        <v>56</v>
      </c>
      <c r="F118" s="115"/>
      <c r="G118" s="116"/>
      <c r="H118" s="308">
        <v>2.179E-2</v>
      </c>
      <c r="I118" s="308">
        <v>2.179E-2</v>
      </c>
      <c r="J118" s="308">
        <v>1.0895E-2</v>
      </c>
      <c r="K118" s="308">
        <v>1.0895E-2</v>
      </c>
      <c r="L118" s="308">
        <v>1.0895E-2</v>
      </c>
      <c r="M118" s="308">
        <v>0</v>
      </c>
      <c r="N118" s="308">
        <v>0</v>
      </c>
      <c r="O118" s="308">
        <v>0</v>
      </c>
      <c r="P118" s="309">
        <v>-1.0895E-2</v>
      </c>
      <c r="Q118" s="396"/>
    </row>
    <row r="119" spans="1:17" x14ac:dyDescent="0.3">
      <c r="A119" s="64"/>
      <c r="B119" s="396"/>
      <c r="C119" s="12"/>
      <c r="D119" s="216" t="s">
        <v>57</v>
      </c>
      <c r="E119" s="301" t="s">
        <v>58</v>
      </c>
      <c r="F119" s="115"/>
      <c r="G119" s="116"/>
      <c r="H119" s="308">
        <v>0.29143599999999997</v>
      </c>
      <c r="I119" s="308">
        <v>0.29143599999999997</v>
      </c>
      <c r="J119" s="308">
        <v>0.310865</v>
      </c>
      <c r="K119" s="308">
        <v>0.310865</v>
      </c>
      <c r="L119" s="308">
        <v>0.320579</v>
      </c>
      <c r="M119" s="308">
        <v>0.33029399999999998</v>
      </c>
      <c r="N119" s="308">
        <v>0.33029399999999998</v>
      </c>
      <c r="O119" s="308">
        <v>0.34000799999999998</v>
      </c>
      <c r="P119" s="309">
        <v>0.34972300000000001</v>
      </c>
      <c r="Q119" s="396"/>
    </row>
    <row r="120" spans="1:17" x14ac:dyDescent="0.3">
      <c r="A120" s="64"/>
      <c r="B120" s="396"/>
      <c r="C120" s="12"/>
      <c r="D120" s="216" t="s">
        <v>59</v>
      </c>
      <c r="E120" s="301" t="s">
        <v>60</v>
      </c>
      <c r="F120" s="115"/>
      <c r="G120" s="116"/>
      <c r="H120" s="308">
        <v>0.63140399999999997</v>
      </c>
      <c r="I120" s="308">
        <v>0.64288400000000001</v>
      </c>
      <c r="J120" s="308">
        <v>0.65436399999999995</v>
      </c>
      <c r="K120" s="308">
        <v>0.66584399999999999</v>
      </c>
      <c r="L120" s="308">
        <v>0.66584399999999999</v>
      </c>
      <c r="M120" s="308">
        <v>0.67732400000000004</v>
      </c>
      <c r="N120" s="308">
        <v>0.68880399999999997</v>
      </c>
      <c r="O120" s="308">
        <v>0.68880399999999997</v>
      </c>
      <c r="P120" s="309">
        <v>0.68880399999999997</v>
      </c>
      <c r="Q120" s="396"/>
    </row>
    <row r="121" spans="1:17" x14ac:dyDescent="0.3">
      <c r="A121" s="64"/>
      <c r="B121" s="398"/>
      <c r="C121" s="27"/>
      <c r="D121" s="220" t="s">
        <v>61</v>
      </c>
      <c r="E121" s="286" t="s">
        <v>62</v>
      </c>
      <c r="F121" s="72"/>
      <c r="G121" s="310">
        <v>0.25143100000000002</v>
      </c>
      <c r="H121" s="311">
        <v>0.25143100000000002</v>
      </c>
      <c r="I121" s="311">
        <v>0.25143100000000002</v>
      </c>
      <c r="J121" s="311">
        <v>0.25143100000000002</v>
      </c>
      <c r="K121" s="311">
        <v>0.25143100000000002</v>
      </c>
      <c r="L121" s="311">
        <v>0.25143100000000002</v>
      </c>
      <c r="M121" s="311">
        <v>0.25143100000000002</v>
      </c>
      <c r="N121" s="311">
        <v>0.25143100000000002</v>
      </c>
      <c r="O121" s="311">
        <v>0.25143100000000002</v>
      </c>
      <c r="P121" s="312">
        <v>0.25143100000000002</v>
      </c>
      <c r="Q121" s="396"/>
    </row>
    <row r="122" spans="1:17" x14ac:dyDescent="0.3">
      <c r="A122" s="64"/>
      <c r="B122" s="398"/>
      <c r="C122" s="27"/>
      <c r="D122" s="220" t="s">
        <v>63</v>
      </c>
      <c r="E122" s="286" t="s">
        <v>62</v>
      </c>
      <c r="F122" s="72"/>
      <c r="G122" s="310">
        <v>0.193025</v>
      </c>
      <c r="H122" s="311">
        <v>0.193025</v>
      </c>
      <c r="I122" s="311">
        <v>0.18230099999999999</v>
      </c>
      <c r="J122" s="311">
        <v>0.18230099999999999</v>
      </c>
      <c r="K122" s="311">
        <v>0.17157800000000001</v>
      </c>
      <c r="L122" s="311">
        <v>0.17157800000000001</v>
      </c>
      <c r="M122" s="311">
        <v>0.17157800000000001</v>
      </c>
      <c r="N122" s="311">
        <v>0.160854</v>
      </c>
      <c r="O122" s="311">
        <v>0.160854</v>
      </c>
      <c r="P122" s="312">
        <v>0.15013099999999999</v>
      </c>
      <c r="Q122" s="396"/>
    </row>
    <row r="123" spans="1:17" x14ac:dyDescent="0.3">
      <c r="A123" s="64"/>
      <c r="B123" s="396"/>
      <c r="C123" s="12"/>
      <c r="D123" s="216" t="s">
        <v>64</v>
      </c>
      <c r="E123" s="302" t="str">
        <f>'Control Center'!$F$10</f>
        <v>USD</v>
      </c>
      <c r="F123" s="115"/>
      <c r="G123" s="313">
        <v>39103</v>
      </c>
      <c r="H123" s="314">
        <v>39103</v>
      </c>
      <c r="I123" s="314">
        <v>39103</v>
      </c>
      <c r="J123" s="314">
        <v>39103</v>
      </c>
      <c r="K123" s="314">
        <v>39103</v>
      </c>
      <c r="L123" s="314">
        <v>39103</v>
      </c>
      <c r="M123" s="314">
        <v>39103</v>
      </c>
      <c r="N123" s="314">
        <v>39103</v>
      </c>
      <c r="O123" s="314">
        <v>39103</v>
      </c>
      <c r="P123" s="315">
        <v>39103</v>
      </c>
      <c r="Q123" s="396"/>
    </row>
    <row r="124" spans="1:17" x14ac:dyDescent="0.3">
      <c r="A124" s="64"/>
      <c r="B124" s="398"/>
      <c r="C124" s="27"/>
      <c r="D124" s="220" t="s">
        <v>65</v>
      </c>
      <c r="E124" s="286" t="s">
        <v>62</v>
      </c>
      <c r="F124" s="72"/>
      <c r="G124" s="310">
        <v>5.7921E-2</v>
      </c>
      <c r="H124" s="311">
        <v>5.7921E-2</v>
      </c>
      <c r="I124" s="311">
        <v>5.7921E-2</v>
      </c>
      <c r="J124" s="311">
        <v>5.2129000000000002E-2</v>
      </c>
      <c r="K124" s="311">
        <v>5.2129000000000002E-2</v>
      </c>
      <c r="L124" s="311">
        <v>4.6337000000000003E-2</v>
      </c>
      <c r="M124" s="311">
        <v>4.6337000000000003E-2</v>
      </c>
      <c r="N124" s="311">
        <v>4.6337000000000003E-2</v>
      </c>
      <c r="O124" s="311">
        <v>4.0544999999999998E-2</v>
      </c>
      <c r="P124" s="312">
        <v>4.0544999999999998E-2</v>
      </c>
      <c r="Q124" s="396"/>
    </row>
    <row r="125" spans="1:17" x14ac:dyDescent="0.3">
      <c r="A125" s="64"/>
      <c r="B125" s="396"/>
      <c r="C125" s="12"/>
      <c r="D125" s="216" t="s">
        <v>66</v>
      </c>
      <c r="E125" s="302" t="str">
        <f>'Control Center'!$F$10</f>
        <v>USD</v>
      </c>
      <c r="F125" s="115"/>
      <c r="G125" s="313">
        <v>53958</v>
      </c>
      <c r="H125" s="314">
        <v>53958</v>
      </c>
      <c r="I125" s="314">
        <v>53958</v>
      </c>
      <c r="J125" s="314">
        <v>53958</v>
      </c>
      <c r="K125" s="314">
        <v>53958</v>
      </c>
      <c r="L125" s="314">
        <v>53958</v>
      </c>
      <c r="M125" s="314">
        <v>53958</v>
      </c>
      <c r="N125" s="314">
        <v>53958</v>
      </c>
      <c r="O125" s="314">
        <v>53958</v>
      </c>
      <c r="P125" s="315">
        <v>53958</v>
      </c>
      <c r="Q125" s="396"/>
    </row>
    <row r="126" spans="1:17" x14ac:dyDescent="0.3">
      <c r="A126" s="64"/>
      <c r="B126" s="398"/>
      <c r="C126" s="27"/>
      <c r="D126" s="220" t="s">
        <v>67</v>
      </c>
      <c r="E126" s="286" t="s">
        <v>62</v>
      </c>
      <c r="F126" s="72"/>
      <c r="G126" s="310">
        <v>9.9620000000000004E-3</v>
      </c>
      <c r="H126" s="311">
        <v>9.9620000000000004E-3</v>
      </c>
      <c r="I126" s="311">
        <v>9.9620000000000004E-3</v>
      </c>
      <c r="J126" s="311">
        <v>9.9620000000000004E-3</v>
      </c>
      <c r="K126" s="311">
        <v>9.9620000000000004E-3</v>
      </c>
      <c r="L126" s="311">
        <v>9.9620000000000004E-3</v>
      </c>
      <c r="M126" s="311">
        <v>9.9620000000000004E-3</v>
      </c>
      <c r="N126" s="311">
        <v>9.9620000000000004E-3</v>
      </c>
      <c r="O126" s="311">
        <v>9.9620000000000004E-3</v>
      </c>
      <c r="P126" s="312">
        <v>9.9620000000000004E-3</v>
      </c>
      <c r="Q126" s="396"/>
    </row>
    <row r="127" spans="1:17" x14ac:dyDescent="0.3">
      <c r="A127" s="64"/>
      <c r="B127" s="396"/>
      <c r="C127" s="12"/>
      <c r="D127" s="216" t="s">
        <v>68</v>
      </c>
      <c r="E127" s="301" t="s">
        <v>69</v>
      </c>
      <c r="F127" s="115"/>
      <c r="G127" s="316">
        <v>0.47835800000000001</v>
      </c>
      <c r="H127" s="308">
        <v>0.47835800000000001</v>
      </c>
      <c r="I127" s="308">
        <v>0.47835800000000001</v>
      </c>
      <c r="J127" s="308">
        <v>0.47835800000000001</v>
      </c>
      <c r="K127" s="308">
        <v>0.47835800000000001</v>
      </c>
      <c r="L127" s="308">
        <v>0.47835800000000001</v>
      </c>
      <c r="M127" s="308">
        <v>0.47835800000000001</v>
      </c>
      <c r="N127" s="308">
        <v>0.47835800000000001</v>
      </c>
      <c r="O127" s="308">
        <v>0.47835800000000001</v>
      </c>
      <c r="P127" s="309">
        <v>0.47835800000000001</v>
      </c>
      <c r="Q127" s="396"/>
    </row>
    <row r="128" spans="1:17" x14ac:dyDescent="0.3">
      <c r="A128" s="64"/>
      <c r="B128" s="396"/>
      <c r="C128" s="12"/>
      <c r="D128" s="216" t="s">
        <v>70</v>
      </c>
      <c r="E128" s="301" t="s">
        <v>71</v>
      </c>
      <c r="F128" s="115"/>
      <c r="G128" s="316">
        <v>0.28275600000000001</v>
      </c>
      <c r="H128" s="308">
        <v>0.28275600000000001</v>
      </c>
      <c r="I128" s="308">
        <v>0.28275600000000001</v>
      </c>
      <c r="J128" s="308">
        <v>0.28275600000000001</v>
      </c>
      <c r="K128" s="308">
        <v>0.28275600000000001</v>
      </c>
      <c r="L128" s="308">
        <v>0.28275600000000001</v>
      </c>
      <c r="M128" s="308">
        <v>0.28275600000000001</v>
      </c>
      <c r="N128" s="308">
        <v>0.28275600000000001</v>
      </c>
      <c r="O128" s="308">
        <v>0.28275600000000001</v>
      </c>
      <c r="P128" s="309">
        <v>0.28275600000000001</v>
      </c>
      <c r="Q128" s="396"/>
    </row>
    <row r="129" spans="1:17" x14ac:dyDescent="0.3">
      <c r="A129" s="64"/>
      <c r="B129" s="396"/>
      <c r="C129" s="12"/>
      <c r="D129" s="12"/>
      <c r="E129" s="124"/>
      <c r="F129" s="115"/>
      <c r="G129" s="426"/>
      <c r="H129" s="427"/>
      <c r="I129" s="427"/>
      <c r="J129" s="427"/>
      <c r="K129" s="427"/>
      <c r="L129" s="427"/>
      <c r="M129" s="427"/>
      <c r="N129" s="427"/>
      <c r="O129" s="427"/>
      <c r="P129" s="428"/>
      <c r="Q129" s="396"/>
    </row>
    <row r="130" spans="1:17" x14ac:dyDescent="0.3">
      <c r="A130" s="64"/>
      <c r="B130" s="55"/>
      <c r="C130" s="55" t="s">
        <v>72</v>
      </c>
      <c r="D130" s="55"/>
      <c r="E130" s="32"/>
      <c r="F130" s="55"/>
      <c r="G130" s="77"/>
      <c r="H130" s="143"/>
      <c r="I130" s="143"/>
      <c r="J130" s="143"/>
      <c r="K130" s="143"/>
      <c r="L130" s="143"/>
      <c r="M130" s="143"/>
      <c r="N130" s="143"/>
      <c r="O130" s="143"/>
      <c r="P130" s="144"/>
      <c r="Q130" s="396"/>
    </row>
    <row r="131" spans="1:17" x14ac:dyDescent="0.3">
      <c r="A131" s="64"/>
      <c r="B131" s="396"/>
      <c r="C131" s="12"/>
      <c r="D131" s="216" t="s">
        <v>73</v>
      </c>
      <c r="E131" s="301" t="s">
        <v>3</v>
      </c>
      <c r="F131" s="115"/>
      <c r="G131" s="313">
        <v>55</v>
      </c>
      <c r="H131" s="314">
        <v>55</v>
      </c>
      <c r="I131" s="314">
        <v>55</v>
      </c>
      <c r="J131" s="314">
        <v>55</v>
      </c>
      <c r="K131" s="314">
        <v>55</v>
      </c>
      <c r="L131" s="314">
        <v>61</v>
      </c>
      <c r="M131" s="314">
        <v>61</v>
      </c>
      <c r="N131" s="314">
        <v>61</v>
      </c>
      <c r="O131" s="314">
        <v>61</v>
      </c>
      <c r="P131" s="315">
        <v>61</v>
      </c>
      <c r="Q131" s="396"/>
    </row>
    <row r="132" spans="1:17" x14ac:dyDescent="0.3">
      <c r="A132" s="64"/>
      <c r="B132" s="396"/>
      <c r="C132" s="12"/>
      <c r="D132" s="216" t="s">
        <v>74</v>
      </c>
      <c r="E132" s="301" t="s">
        <v>3</v>
      </c>
      <c r="F132" s="115"/>
      <c r="G132" s="313">
        <v>82</v>
      </c>
      <c r="H132" s="314">
        <v>82</v>
      </c>
      <c r="I132" s="314">
        <v>87</v>
      </c>
      <c r="J132" s="314">
        <v>92</v>
      </c>
      <c r="K132" s="314">
        <v>92</v>
      </c>
      <c r="L132" s="314">
        <v>97</v>
      </c>
      <c r="M132" s="314">
        <v>100</v>
      </c>
      <c r="N132" s="314">
        <v>100</v>
      </c>
      <c r="O132" s="314">
        <v>107</v>
      </c>
      <c r="P132" s="315">
        <v>112</v>
      </c>
      <c r="Q132" s="396"/>
    </row>
    <row r="133" spans="1:17" x14ac:dyDescent="0.3">
      <c r="A133" s="64"/>
      <c r="B133" s="396"/>
      <c r="C133" s="12"/>
      <c r="D133" s="216" t="s">
        <v>75</v>
      </c>
      <c r="E133" s="301" t="s">
        <v>76</v>
      </c>
      <c r="F133" s="115"/>
      <c r="G133" s="313">
        <v>13646</v>
      </c>
      <c r="H133" s="477"/>
      <c r="I133" s="477"/>
      <c r="J133" s="477"/>
      <c r="K133" s="477"/>
      <c r="L133" s="477"/>
      <c r="M133" s="477"/>
      <c r="N133" s="477"/>
      <c r="O133" s="477"/>
      <c r="P133" s="478"/>
      <c r="Q133" s="396"/>
    </row>
    <row r="134" spans="1:17" x14ac:dyDescent="0.3">
      <c r="A134" s="64"/>
      <c r="B134" s="396"/>
      <c r="C134" s="12"/>
      <c r="D134" s="216" t="s">
        <v>77</v>
      </c>
      <c r="E134" s="301" t="s">
        <v>3</v>
      </c>
      <c r="F134" s="115"/>
      <c r="G134" s="313">
        <v>58</v>
      </c>
      <c r="H134" s="314">
        <v>58</v>
      </c>
      <c r="I134" s="314">
        <v>58</v>
      </c>
      <c r="J134" s="314">
        <v>58</v>
      </c>
      <c r="K134" s="314">
        <v>58</v>
      </c>
      <c r="L134" s="314">
        <v>62</v>
      </c>
      <c r="M134" s="314">
        <v>62</v>
      </c>
      <c r="N134" s="314">
        <v>62</v>
      </c>
      <c r="O134" s="314">
        <v>62</v>
      </c>
      <c r="P134" s="315">
        <v>62</v>
      </c>
      <c r="Q134" s="396"/>
    </row>
    <row r="135" spans="1:17" x14ac:dyDescent="0.3">
      <c r="A135" s="64"/>
      <c r="B135" s="398"/>
      <c r="C135" s="27"/>
      <c r="D135" s="220" t="s">
        <v>78</v>
      </c>
      <c r="E135" s="286" t="s">
        <v>62</v>
      </c>
      <c r="F135" s="72"/>
      <c r="G135" s="310">
        <v>6.9742999999999999E-2</v>
      </c>
      <c r="H135" s="311">
        <v>6.9742999999999999E-2</v>
      </c>
      <c r="I135" s="311">
        <v>6.9742999999999999E-2</v>
      </c>
      <c r="J135" s="311">
        <v>6.9742999999999999E-2</v>
      </c>
      <c r="K135" s="311">
        <v>6.9742999999999999E-2</v>
      </c>
      <c r="L135" s="311">
        <v>6.9742999999999999E-2</v>
      </c>
      <c r="M135" s="311">
        <v>6.9742999999999999E-2</v>
      </c>
      <c r="N135" s="311">
        <v>6.9742999999999999E-2</v>
      </c>
      <c r="O135" s="311">
        <v>6.9742999999999999E-2</v>
      </c>
      <c r="P135" s="312">
        <v>6.9742999999999999E-2</v>
      </c>
      <c r="Q135" s="396"/>
    </row>
    <row r="136" spans="1:17" x14ac:dyDescent="0.3">
      <c r="A136" s="64"/>
      <c r="B136" s="396"/>
      <c r="C136" s="12"/>
      <c r="D136" s="216" t="s">
        <v>79</v>
      </c>
      <c r="E136" s="302" t="str">
        <f>'Control Center'!$F$10</f>
        <v>USD</v>
      </c>
      <c r="F136" s="115"/>
      <c r="G136" s="313">
        <v>7658</v>
      </c>
      <c r="H136" s="314">
        <v>7658</v>
      </c>
      <c r="I136" s="314">
        <v>9573</v>
      </c>
      <c r="J136" s="314">
        <v>9573</v>
      </c>
      <c r="K136" s="314">
        <v>11487</v>
      </c>
      <c r="L136" s="314">
        <v>9573</v>
      </c>
      <c r="M136" s="314">
        <v>7658</v>
      </c>
      <c r="N136" s="314">
        <v>4786</v>
      </c>
      <c r="O136" s="314">
        <v>3829</v>
      </c>
      <c r="P136" s="315">
        <v>1915</v>
      </c>
      <c r="Q136" s="396"/>
    </row>
    <row r="137" spans="1:17" x14ac:dyDescent="0.3">
      <c r="A137" s="64"/>
      <c r="B137" s="396"/>
      <c r="C137" s="12"/>
      <c r="D137" s="12"/>
      <c r="E137" s="124"/>
      <c r="F137" s="115"/>
      <c r="G137" s="426"/>
      <c r="H137" s="427"/>
      <c r="I137" s="427"/>
      <c r="J137" s="427"/>
      <c r="K137" s="427"/>
      <c r="L137" s="427"/>
      <c r="M137" s="427"/>
      <c r="N137" s="427"/>
      <c r="O137" s="427"/>
      <c r="P137" s="428"/>
      <c r="Q137" s="396"/>
    </row>
    <row r="138" spans="1:17" x14ac:dyDescent="0.3">
      <c r="A138" s="64"/>
      <c r="B138" s="55"/>
      <c r="C138" s="55" t="s">
        <v>80</v>
      </c>
      <c r="D138" s="55"/>
      <c r="E138" s="32"/>
      <c r="F138" s="55"/>
      <c r="G138" s="77"/>
      <c r="H138" s="143"/>
      <c r="I138" s="143"/>
      <c r="J138" s="143"/>
      <c r="K138" s="143"/>
      <c r="L138" s="143"/>
      <c r="M138" s="143"/>
      <c r="N138" s="143"/>
      <c r="O138" s="143"/>
      <c r="P138" s="144"/>
      <c r="Q138" s="396"/>
    </row>
    <row r="139" spans="1:17" x14ac:dyDescent="0.3">
      <c r="A139" s="64"/>
      <c r="B139" s="396"/>
      <c r="C139" s="12"/>
      <c r="D139" s="216" t="s">
        <v>81</v>
      </c>
      <c r="E139" s="301" t="s">
        <v>4</v>
      </c>
      <c r="F139" s="115"/>
      <c r="G139" s="316">
        <v>8.5320999999999994E-2</v>
      </c>
      <c r="H139" s="308">
        <v>8.5320999999999994E-2</v>
      </c>
      <c r="I139" s="308">
        <v>8.5320999999999994E-2</v>
      </c>
      <c r="J139" s="308">
        <v>8.5320999999999994E-2</v>
      </c>
      <c r="K139" s="308">
        <v>8.5320999999999994E-2</v>
      </c>
      <c r="L139" s="308">
        <v>8.5320999999999994E-2</v>
      </c>
      <c r="M139" s="308">
        <v>8.5320999999999994E-2</v>
      </c>
      <c r="N139" s="308">
        <v>8.5320999999999994E-2</v>
      </c>
      <c r="O139" s="308">
        <v>8.5320999999999994E-2</v>
      </c>
      <c r="P139" s="309">
        <v>8.5320999999999994E-2</v>
      </c>
      <c r="Q139" s="396"/>
    </row>
    <row r="140" spans="1:17" x14ac:dyDescent="0.3">
      <c r="A140" s="64"/>
      <c r="B140" s="396"/>
      <c r="C140" s="12"/>
      <c r="D140" s="216" t="s">
        <v>82</v>
      </c>
      <c r="E140" s="301" t="s">
        <v>83</v>
      </c>
      <c r="F140" s="115"/>
      <c r="G140" s="313">
        <v>74276</v>
      </c>
      <c r="H140" s="479"/>
      <c r="I140" s="479"/>
      <c r="J140" s="479"/>
      <c r="K140" s="479"/>
      <c r="L140" s="479"/>
      <c r="M140" s="479"/>
      <c r="N140" s="479"/>
      <c r="O140" s="479"/>
      <c r="P140" s="480"/>
      <c r="Q140" s="396"/>
    </row>
    <row r="141" spans="1:17" x14ac:dyDescent="0.3">
      <c r="A141" s="64"/>
      <c r="B141" s="396"/>
      <c r="C141" s="12"/>
      <c r="D141" s="216" t="s">
        <v>84</v>
      </c>
      <c r="E141" s="301" t="s">
        <v>1</v>
      </c>
      <c r="F141" s="115"/>
      <c r="G141" s="313">
        <v>73141</v>
      </c>
      <c r="H141" s="314">
        <v>73141</v>
      </c>
      <c r="I141" s="314">
        <v>73141</v>
      </c>
      <c r="J141" s="314">
        <v>73141</v>
      </c>
      <c r="K141" s="314">
        <v>73141</v>
      </c>
      <c r="L141" s="314">
        <v>73141</v>
      </c>
      <c r="M141" s="314">
        <v>73141</v>
      </c>
      <c r="N141" s="314">
        <v>73141</v>
      </c>
      <c r="O141" s="314">
        <v>7314</v>
      </c>
      <c r="P141" s="315">
        <v>73141</v>
      </c>
      <c r="Q141" s="396"/>
    </row>
    <row r="142" spans="1:17" x14ac:dyDescent="0.3">
      <c r="A142" s="64"/>
      <c r="B142" s="396"/>
      <c r="C142" s="12"/>
      <c r="D142" s="216" t="s">
        <v>85</v>
      </c>
      <c r="E142" s="302" t="str">
        <f>'Control Center'!$F$10</f>
        <v>USD</v>
      </c>
      <c r="F142" s="115"/>
      <c r="G142" s="313">
        <v>-3044</v>
      </c>
      <c r="H142" s="314">
        <v>-3044</v>
      </c>
      <c r="I142" s="314">
        <v>-3044</v>
      </c>
      <c r="J142" s="314">
        <v>-3044</v>
      </c>
      <c r="K142" s="314">
        <v>-3044</v>
      </c>
      <c r="L142" s="314">
        <v>-3044</v>
      </c>
      <c r="M142" s="314">
        <v>-3044</v>
      </c>
      <c r="N142" s="314">
        <v>-3044</v>
      </c>
      <c r="O142" s="314">
        <v>-3044</v>
      </c>
      <c r="P142" s="315">
        <v>-3044</v>
      </c>
      <c r="Q142" s="396"/>
    </row>
    <row r="143" spans="1:17" x14ac:dyDescent="0.3">
      <c r="A143" s="64"/>
      <c r="B143" s="396"/>
      <c r="C143" s="12"/>
      <c r="D143" s="216" t="s">
        <v>86</v>
      </c>
      <c r="E143" s="302" t="str">
        <f>'Control Center'!$F$10</f>
        <v>USD</v>
      </c>
      <c r="F143" s="115"/>
      <c r="G143" s="313">
        <v>0</v>
      </c>
      <c r="H143" s="314">
        <v>0</v>
      </c>
      <c r="I143" s="314">
        <v>0</v>
      </c>
      <c r="J143" s="314">
        <v>0</v>
      </c>
      <c r="K143" s="314">
        <v>0</v>
      </c>
      <c r="L143" s="314">
        <v>0</v>
      </c>
      <c r="M143" s="314">
        <v>0</v>
      </c>
      <c r="N143" s="314">
        <v>0</v>
      </c>
      <c r="O143" s="314">
        <v>0</v>
      </c>
      <c r="P143" s="315">
        <v>0</v>
      </c>
      <c r="Q143" s="396"/>
    </row>
    <row r="144" spans="1:17" x14ac:dyDescent="0.3">
      <c r="A144" s="64"/>
      <c r="B144" s="398"/>
      <c r="C144" s="27"/>
      <c r="D144" s="220" t="s">
        <v>87</v>
      </c>
      <c r="E144" s="286" t="s">
        <v>88</v>
      </c>
      <c r="F144" s="72"/>
      <c r="G144" s="310">
        <v>5.5656999999999998E-2</v>
      </c>
      <c r="H144" s="311">
        <v>5.5656999999999998E-2</v>
      </c>
      <c r="I144" s="311">
        <v>5.5656999999999998E-2</v>
      </c>
      <c r="J144" s="311">
        <v>5.5656999999999998E-2</v>
      </c>
      <c r="K144" s="311">
        <v>5.5656999999999998E-2</v>
      </c>
      <c r="L144" s="311">
        <v>5.5656999999999998E-2</v>
      </c>
      <c r="M144" s="311">
        <v>5.5656999999999998E-2</v>
      </c>
      <c r="N144" s="311">
        <v>5.5656999999999998E-2</v>
      </c>
      <c r="O144" s="311">
        <v>5.5656999999999998E-2</v>
      </c>
      <c r="P144" s="312">
        <v>5.5656999999999998E-2</v>
      </c>
      <c r="Q144" s="396"/>
    </row>
    <row r="148" spans="1:19" x14ac:dyDescent="0.3">
      <c r="A148" s="211" t="s">
        <v>0</v>
      </c>
      <c r="B148" s="8"/>
      <c r="C148" s="2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ht="18" x14ac:dyDescent="0.3">
      <c r="A149" s="199" t="s">
        <v>38</v>
      </c>
      <c r="B149" s="446" t="str">
        <f>'Control Center'!F6</f>
        <v/>
      </c>
      <c r="C149" s="447"/>
      <c r="D149" s="447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</row>
    <row r="150" spans="1:19" x14ac:dyDescent="0.3">
      <c r="A150" s="64"/>
      <c r="B150" s="396"/>
      <c r="C150" s="396"/>
      <c r="D150" s="396"/>
      <c r="E150" s="396"/>
      <c r="F150" s="396"/>
      <c r="G150" s="396"/>
      <c r="H150" s="396"/>
      <c r="I150" s="396"/>
      <c r="J150" s="396"/>
      <c r="K150" s="396"/>
      <c r="L150" s="396"/>
      <c r="M150" s="396"/>
      <c r="N150" s="396"/>
      <c r="O150" s="396"/>
      <c r="P150" s="396"/>
      <c r="Q150" s="396"/>
      <c r="R150" s="396"/>
      <c r="S150" s="396"/>
    </row>
    <row r="151" spans="1:19" x14ac:dyDescent="0.3">
      <c r="A151" s="64"/>
      <c r="B151" s="55"/>
      <c r="C151" s="55" t="s">
        <v>30</v>
      </c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</row>
    <row r="152" spans="1:19" x14ac:dyDescent="0.3">
      <c r="A152" s="64"/>
      <c r="B152" s="396"/>
      <c r="C152" s="262" t="str">
        <f>'Formula Audit'!A3</f>
        <v>Figures in USD</v>
      </c>
      <c r="D152" s="82"/>
      <c r="E152" s="12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x14ac:dyDescent="0.3">
      <c r="A153" s="67"/>
      <c r="B153" s="107"/>
      <c r="C153" s="107"/>
      <c r="D153" s="107"/>
      <c r="E153" s="107"/>
      <c r="F153" s="107"/>
      <c r="G153" s="445">
        <f>'Control Center'!F8</f>
        <v>2025</v>
      </c>
      <c r="H153" s="445"/>
      <c r="I153" s="445"/>
      <c r="J153" s="445"/>
      <c r="K153" s="445"/>
      <c r="L153" s="445"/>
      <c r="M153" s="445"/>
      <c r="N153" s="445"/>
      <c r="O153" s="445"/>
      <c r="P153" s="445"/>
      <c r="Q153" s="445"/>
      <c r="R153" s="445"/>
      <c r="S153" s="445"/>
    </row>
    <row r="154" spans="1:19" x14ac:dyDescent="0.3">
      <c r="A154" s="64"/>
      <c r="B154" s="396"/>
      <c r="C154" s="263" t="s">
        <v>92</v>
      </c>
      <c r="D154" s="8"/>
      <c r="E154" s="11"/>
      <c r="F154" s="11"/>
      <c r="G154" s="361" t="str">
        <f>'Formula Audit'!C41</f>
        <v>January</v>
      </c>
      <c r="H154" s="361" t="str">
        <f>'Formula Audit'!D41</f>
        <v>February</v>
      </c>
      <c r="I154" s="361" t="str">
        <f>'Formula Audit'!E41</f>
        <v>March</v>
      </c>
      <c r="J154" s="361" t="str">
        <f>'Formula Audit'!F41</f>
        <v>April</v>
      </c>
      <c r="K154" s="361" t="str">
        <f>'Formula Audit'!G41</f>
        <v>May</v>
      </c>
      <c r="L154" s="361" t="str">
        <f>'Formula Audit'!H41</f>
        <v>June</v>
      </c>
      <c r="M154" s="361" t="str">
        <f>'Formula Audit'!I41</f>
        <v>July</v>
      </c>
      <c r="N154" s="361" t="str">
        <f>'Formula Audit'!J41</f>
        <v>August</v>
      </c>
      <c r="O154" s="361" t="str">
        <f>'Formula Audit'!K41</f>
        <v>September</v>
      </c>
      <c r="P154" s="361" t="str">
        <f>'Formula Audit'!L41</f>
        <v>October</v>
      </c>
      <c r="Q154" s="361" t="str">
        <f>'Formula Audit'!M41</f>
        <v>November</v>
      </c>
      <c r="R154" s="361" t="str">
        <f>'Formula Audit'!N41</f>
        <v>December</v>
      </c>
      <c r="S154" s="281" t="s">
        <v>2</v>
      </c>
    </row>
    <row r="155" spans="1:19" x14ac:dyDescent="0.3">
      <c r="A155" s="64"/>
      <c r="B155" s="396"/>
      <c r="C155" s="282" t="s">
        <v>93</v>
      </c>
      <c r="D155" s="12"/>
      <c r="E155" s="12"/>
      <c r="F155" s="12"/>
      <c r="G155" s="283">
        <v>1.8551000000000002E-2</v>
      </c>
      <c r="H155" s="284">
        <v>2.7827000000000001E-2</v>
      </c>
      <c r="I155" s="284">
        <v>3.7102999999999997E-2</v>
      </c>
      <c r="J155" s="284">
        <v>4.6378000000000003E-2</v>
      </c>
      <c r="K155" s="284">
        <v>9.2757000000000006E-2</v>
      </c>
      <c r="L155" s="284">
        <v>0.111308</v>
      </c>
      <c r="M155" s="284">
        <v>7.4204999999999993E-2</v>
      </c>
      <c r="N155" s="284">
        <v>4.6378000000000003E-2</v>
      </c>
      <c r="O155" s="284">
        <v>-1.8551000000000002E-2</v>
      </c>
      <c r="P155" s="284">
        <v>2.7827000000000001E-2</v>
      </c>
      <c r="Q155" s="284">
        <v>7.4204999999999993E-2</v>
      </c>
      <c r="R155" s="285">
        <v>0.111308</v>
      </c>
      <c r="S155" s="482"/>
    </row>
    <row r="156" spans="1:19" x14ac:dyDescent="0.3">
      <c r="A156" s="64"/>
      <c r="B156" s="398"/>
      <c r="C156" s="220" t="s">
        <v>94</v>
      </c>
      <c r="D156" s="48"/>
      <c r="E156" s="286" t="s">
        <v>95</v>
      </c>
      <c r="F156" s="286" t="s">
        <v>96</v>
      </c>
      <c r="G156" s="443" t="s">
        <v>97</v>
      </c>
      <c r="H156" s="444"/>
      <c r="I156" s="444"/>
      <c r="J156" s="444"/>
      <c r="K156" s="444"/>
      <c r="L156" s="444"/>
      <c r="M156" s="444"/>
      <c r="N156" s="444"/>
      <c r="O156" s="444"/>
      <c r="P156" s="444"/>
      <c r="Q156" s="444"/>
      <c r="R156" s="444"/>
      <c r="S156" s="287" t="s">
        <v>98</v>
      </c>
    </row>
    <row r="157" spans="1:19" x14ac:dyDescent="0.3">
      <c r="A157" s="64"/>
      <c r="B157" s="396"/>
      <c r="C157" s="12"/>
      <c r="D157" s="216" t="s">
        <v>99</v>
      </c>
      <c r="E157" s="288">
        <v>213</v>
      </c>
      <c r="F157" s="289">
        <v>9</v>
      </c>
      <c r="G157" s="290">
        <f>$E157*$F157*'Formula Audit'!C$42</f>
        <v>1952.562267</v>
      </c>
      <c r="H157" s="290">
        <f>$E157*$F157*'Formula Audit'!D$42</f>
        <v>1970.3443590000002</v>
      </c>
      <c r="I157" s="290">
        <f>$E157*$F157*'Formula Audit'!E$42</f>
        <v>1988.1264510000003</v>
      </c>
      <c r="J157" s="290">
        <f>$E157*$F157*'Formula Audit'!F$42</f>
        <v>2005.906626</v>
      </c>
      <c r="K157" s="290">
        <f>$E157*$F157*'Formula Audit'!G$42</f>
        <v>2094.815169</v>
      </c>
      <c r="L157" s="290">
        <f>$E157*$F157*'Formula Audit'!H$42</f>
        <v>2130.3774359999998</v>
      </c>
      <c r="M157" s="290">
        <f>$E157*$F157*'Formula Audit'!I$42</f>
        <v>2059.2509850000001</v>
      </c>
      <c r="N157" s="290">
        <f>$E157*$F157*'Formula Audit'!J$42</f>
        <v>2005.906626</v>
      </c>
      <c r="O157" s="290">
        <f>$E157*$F157*'Formula Audit'!K$42</f>
        <v>1881.437733</v>
      </c>
      <c r="P157" s="290">
        <f>$E157*$F157*'Formula Audit'!L$42</f>
        <v>1970.3443590000002</v>
      </c>
      <c r="Q157" s="290">
        <f>$E157*$F157*'Formula Audit'!M$42</f>
        <v>2059.2509850000001</v>
      </c>
      <c r="R157" s="290">
        <f>$E157*$F157*'Formula Audit'!N$42</f>
        <v>2130.3774359999998</v>
      </c>
      <c r="S157" s="291">
        <f>SUM(G157:R157)</f>
        <v>24248.700431999998</v>
      </c>
    </row>
    <row r="158" spans="1:19" x14ac:dyDescent="0.3">
      <c r="A158" s="64"/>
      <c r="B158" s="396"/>
      <c r="C158" s="12"/>
      <c r="D158" s="216" t="s">
        <v>100</v>
      </c>
      <c r="E158" s="288">
        <v>183</v>
      </c>
      <c r="F158" s="289">
        <v>18</v>
      </c>
      <c r="G158" s="290">
        <f>$E158*$F158*'Formula Audit'!C$42</f>
        <v>3355.1069939999998</v>
      </c>
      <c r="H158" s="290">
        <f>$E158*$F158*'Formula Audit'!D$42</f>
        <v>3385.6621380000001</v>
      </c>
      <c r="I158" s="290">
        <f>$E158*$F158*'Formula Audit'!E$42</f>
        <v>3416.2172820000005</v>
      </c>
      <c r="J158" s="290">
        <f>$E158*$F158*'Formula Audit'!F$42</f>
        <v>3446.7691319999999</v>
      </c>
      <c r="K158" s="290">
        <f>$E158*$F158*'Formula Audit'!G$42</f>
        <v>3599.5415579999999</v>
      </c>
      <c r="L158" s="290">
        <f>$E158*$F158*'Formula Audit'!H$42</f>
        <v>3660.6485519999997</v>
      </c>
      <c r="M158" s="290">
        <f>$E158*$F158*'Formula Audit'!I$42</f>
        <v>3538.43127</v>
      </c>
      <c r="N158" s="290">
        <f>$E158*$F158*'Formula Audit'!J$42</f>
        <v>3446.7691319999999</v>
      </c>
      <c r="O158" s="290">
        <f>$E158*$F158*'Formula Audit'!K$42</f>
        <v>3232.8930060000002</v>
      </c>
      <c r="P158" s="290">
        <f>$E158*$F158*'Formula Audit'!L$42</f>
        <v>3385.6621380000001</v>
      </c>
      <c r="Q158" s="290">
        <f>$E158*$F158*'Formula Audit'!M$42</f>
        <v>3538.43127</v>
      </c>
      <c r="R158" s="290">
        <f>$E158*$F158*'Formula Audit'!N$42</f>
        <v>3660.6485519999997</v>
      </c>
      <c r="S158" s="291">
        <f>SUM(G158:R158)</f>
        <v>41666.781023999996</v>
      </c>
    </row>
    <row r="159" spans="1:19" x14ac:dyDescent="0.3">
      <c r="A159" s="64"/>
      <c r="B159" s="396"/>
      <c r="C159" s="12"/>
      <c r="D159" s="216" t="s">
        <v>101</v>
      </c>
      <c r="E159" s="288">
        <v>124</v>
      </c>
      <c r="F159" s="289">
        <v>30</v>
      </c>
      <c r="G159" s="290">
        <f>$E159*$F159*'Formula Audit'!C$42</f>
        <v>3789.00972</v>
      </c>
      <c r="H159" s="290">
        <f>$E159*$F159*'Formula Audit'!D$42</f>
        <v>3823.5164400000003</v>
      </c>
      <c r="I159" s="290">
        <f>$E159*$F159*'Formula Audit'!E$42</f>
        <v>3858.0231600000002</v>
      </c>
      <c r="J159" s="290">
        <f>$E159*$F159*'Formula Audit'!F$42</f>
        <v>3892.5261599999999</v>
      </c>
      <c r="K159" s="290">
        <f>$E159*$F159*'Formula Audit'!G$42</f>
        <v>4065.0560399999999</v>
      </c>
      <c r="L159" s="290">
        <f>$E159*$F159*'Formula Audit'!H$42</f>
        <v>4134.0657599999995</v>
      </c>
      <c r="M159" s="290">
        <f>$E159*$F159*'Formula Audit'!I$42</f>
        <v>3996.0426000000002</v>
      </c>
      <c r="N159" s="290">
        <f>$E159*$F159*'Formula Audit'!J$42</f>
        <v>3892.5261599999999</v>
      </c>
      <c r="O159" s="290">
        <f>$E159*$F159*'Formula Audit'!K$42</f>
        <v>3650.99028</v>
      </c>
      <c r="P159" s="290">
        <f>$E159*$F159*'Formula Audit'!L$42</f>
        <v>3823.5164400000003</v>
      </c>
      <c r="Q159" s="290">
        <f>$E159*$F159*'Formula Audit'!M$42</f>
        <v>3996.0426000000002</v>
      </c>
      <c r="R159" s="290">
        <f>$E159*$F159*'Formula Audit'!N$42</f>
        <v>4134.0657599999995</v>
      </c>
      <c r="S159" s="291">
        <f>SUM(G159:R159)</f>
        <v>47055.381119999998</v>
      </c>
    </row>
    <row r="160" spans="1:19" x14ac:dyDescent="0.3">
      <c r="A160" s="64"/>
      <c r="B160" s="396"/>
      <c r="C160" s="12"/>
      <c r="D160" s="216" t="s">
        <v>102</v>
      </c>
      <c r="E160" s="288">
        <v>100</v>
      </c>
      <c r="F160" s="289">
        <v>44</v>
      </c>
      <c r="G160" s="290">
        <f>$E160*$F160*'Formula Audit'!C$42</f>
        <v>4481.6243999999997</v>
      </c>
      <c r="H160" s="290">
        <f>$E160*$F160*'Formula Audit'!D$42</f>
        <v>4522.4387999999999</v>
      </c>
      <c r="I160" s="290">
        <f>$E160*$F160*'Formula Audit'!E$42</f>
        <v>4563.2532000000001</v>
      </c>
      <c r="J160" s="290">
        <f>$E160*$F160*'Formula Audit'!F$42</f>
        <v>4604.0632000000005</v>
      </c>
      <c r="K160" s="290">
        <f>$E160*$F160*'Formula Audit'!G$42</f>
        <v>4808.1307999999999</v>
      </c>
      <c r="L160" s="290">
        <f>$E160*$F160*'Formula Audit'!H$42</f>
        <v>4889.7551999999996</v>
      </c>
      <c r="M160" s="290">
        <f>$E160*$F160*'Formula Audit'!I$42</f>
        <v>4726.5020000000004</v>
      </c>
      <c r="N160" s="290">
        <f>$E160*$F160*'Formula Audit'!J$42</f>
        <v>4604.0632000000005</v>
      </c>
      <c r="O160" s="290">
        <f>$E160*$F160*'Formula Audit'!K$42</f>
        <v>4318.3756000000003</v>
      </c>
      <c r="P160" s="290">
        <f>$E160*$F160*'Formula Audit'!L$42</f>
        <v>4522.4387999999999</v>
      </c>
      <c r="Q160" s="290">
        <f>$E160*$F160*'Formula Audit'!M$42</f>
        <v>4726.5020000000004</v>
      </c>
      <c r="R160" s="290">
        <f>$E160*$F160*'Formula Audit'!N$42</f>
        <v>4889.7551999999996</v>
      </c>
      <c r="S160" s="291">
        <f>SUM(G160:R160)</f>
        <v>55656.902399999999</v>
      </c>
    </row>
    <row r="161" spans="1:19" x14ac:dyDescent="0.3">
      <c r="A161" s="64"/>
      <c r="B161" s="396"/>
      <c r="C161" s="12"/>
      <c r="D161" s="216" t="s">
        <v>103</v>
      </c>
      <c r="E161" s="288">
        <v>43</v>
      </c>
      <c r="F161" s="289">
        <v>45</v>
      </c>
      <c r="G161" s="290">
        <f>$E161*$F161*'Formula Audit'!C$42</f>
        <v>1970.8961850000001</v>
      </c>
      <c r="H161" s="290">
        <f>$E161*$F161*'Formula Audit'!D$42</f>
        <v>1988.845245</v>
      </c>
      <c r="I161" s="290">
        <f>$E161*$F161*'Formula Audit'!E$42</f>
        <v>2006.7943050000001</v>
      </c>
      <c r="J161" s="290">
        <f>$E161*$F161*'Formula Audit'!F$42</f>
        <v>2024.74143</v>
      </c>
      <c r="K161" s="290">
        <f>$E161*$F161*'Formula Audit'!G$42</f>
        <v>2114.4847949999998</v>
      </c>
      <c r="L161" s="290">
        <f>$E161*$F161*'Formula Audit'!H$42</f>
        <v>2150.3809799999999</v>
      </c>
      <c r="M161" s="290">
        <f>$E161*$F161*'Formula Audit'!I$42</f>
        <v>2078.586675</v>
      </c>
      <c r="N161" s="290">
        <f>$E161*$F161*'Formula Audit'!J$42</f>
        <v>2024.74143</v>
      </c>
      <c r="O161" s="290">
        <f>$E161*$F161*'Formula Audit'!K$42</f>
        <v>1899.1038149999999</v>
      </c>
      <c r="P161" s="290">
        <f>$E161*$F161*'Formula Audit'!L$42</f>
        <v>1988.845245</v>
      </c>
      <c r="Q161" s="290">
        <f>$E161*$F161*'Formula Audit'!M$42</f>
        <v>2078.586675</v>
      </c>
      <c r="R161" s="290">
        <f>$E161*$F161*'Formula Audit'!N$42</f>
        <v>2150.3809799999999</v>
      </c>
      <c r="S161" s="291">
        <f>SUM(G161:R161)</f>
        <v>24476.387759999998</v>
      </c>
    </row>
    <row r="162" spans="1:19" x14ac:dyDescent="0.3">
      <c r="A162" s="64"/>
      <c r="B162" s="396"/>
      <c r="C162" s="12"/>
      <c r="D162" s="216" t="s">
        <v>104</v>
      </c>
      <c r="E162" s="483"/>
      <c r="F162" s="484"/>
      <c r="G162" s="290">
        <f>$E162*$F162*'Formula Audit'!C$42</f>
        <v>0</v>
      </c>
      <c r="H162" s="290">
        <f>$E162*$F162*'Formula Audit'!D$42</f>
        <v>0</v>
      </c>
      <c r="I162" s="290">
        <f>$E162*$F162*'Formula Audit'!E$42</f>
        <v>0</v>
      </c>
      <c r="J162" s="290">
        <f>$E162*$F162*'Formula Audit'!F$42</f>
        <v>0</v>
      </c>
      <c r="K162" s="290">
        <f>$E162*$F162*'Formula Audit'!G$42</f>
        <v>0</v>
      </c>
      <c r="L162" s="290">
        <f>$E162*$F162*'Formula Audit'!H$42</f>
        <v>0</v>
      </c>
      <c r="M162" s="290">
        <f>$E162*$F162*'Formula Audit'!I$42</f>
        <v>0</v>
      </c>
      <c r="N162" s="290">
        <f>$E162*$F162*'Formula Audit'!J$42</f>
        <v>0</v>
      </c>
      <c r="O162" s="290">
        <f>$E162*$F162*'Formula Audit'!K$42</f>
        <v>0</v>
      </c>
      <c r="P162" s="290">
        <f>$E162*$F162*'Formula Audit'!L$42</f>
        <v>0</v>
      </c>
      <c r="Q162" s="290">
        <f>$E162*$F162*'Formula Audit'!M$42</f>
        <v>0</v>
      </c>
      <c r="R162" s="290">
        <f>$E162*$F162*'Formula Audit'!N$42</f>
        <v>0</v>
      </c>
      <c r="S162" s="291">
        <f>SUM(G162:R162)</f>
        <v>0</v>
      </c>
    </row>
    <row r="163" spans="1:19" x14ac:dyDescent="0.3">
      <c r="A163" s="64"/>
      <c r="B163" s="396"/>
      <c r="C163" s="12"/>
      <c r="D163" s="216" t="s">
        <v>104</v>
      </c>
      <c r="E163" s="483"/>
      <c r="F163" s="484"/>
      <c r="G163" s="290">
        <f>$E163*$F163*'Formula Audit'!C$42</f>
        <v>0</v>
      </c>
      <c r="H163" s="290">
        <f>$E163*$F163*'Formula Audit'!D$42</f>
        <v>0</v>
      </c>
      <c r="I163" s="290">
        <f>$E163*$F163*'Formula Audit'!E$42</f>
        <v>0</v>
      </c>
      <c r="J163" s="290">
        <f>$E163*$F163*'Formula Audit'!F$42</f>
        <v>0</v>
      </c>
      <c r="K163" s="290">
        <f>$E163*$F163*'Formula Audit'!G$42</f>
        <v>0</v>
      </c>
      <c r="L163" s="290">
        <f>$E163*$F163*'Formula Audit'!H$42</f>
        <v>0</v>
      </c>
      <c r="M163" s="290">
        <f>$E163*$F163*'Formula Audit'!I$42</f>
        <v>0</v>
      </c>
      <c r="N163" s="290">
        <f>$E163*$F163*'Formula Audit'!J$42</f>
        <v>0</v>
      </c>
      <c r="O163" s="290">
        <f>$E163*$F163*'Formula Audit'!K$42</f>
        <v>0</v>
      </c>
      <c r="P163" s="290">
        <f>$E163*$F163*'Formula Audit'!L$42</f>
        <v>0</v>
      </c>
      <c r="Q163" s="290">
        <f>$E163*$F163*'Formula Audit'!M$42</f>
        <v>0</v>
      </c>
      <c r="R163" s="290">
        <f>$E163*$F163*'Formula Audit'!N$42</f>
        <v>0</v>
      </c>
      <c r="S163" s="291">
        <f>SUM(G163:R163)</f>
        <v>0</v>
      </c>
    </row>
    <row r="164" spans="1:19" x14ac:dyDescent="0.3">
      <c r="A164" s="64"/>
      <c r="B164" s="396"/>
      <c r="C164" s="12"/>
      <c r="D164" s="216" t="s">
        <v>104</v>
      </c>
      <c r="E164" s="483"/>
      <c r="F164" s="484"/>
      <c r="G164" s="290">
        <f>$E164*$F164*'Formula Audit'!C$42</f>
        <v>0</v>
      </c>
      <c r="H164" s="290">
        <f>$E164*$F164*'Formula Audit'!D$42</f>
        <v>0</v>
      </c>
      <c r="I164" s="290">
        <f>$E164*$F164*'Formula Audit'!E$42</f>
        <v>0</v>
      </c>
      <c r="J164" s="290">
        <f>$E164*$F164*'Formula Audit'!F$42</f>
        <v>0</v>
      </c>
      <c r="K164" s="290">
        <f>$E164*$F164*'Formula Audit'!G$42</f>
        <v>0</v>
      </c>
      <c r="L164" s="290">
        <f>$E164*$F164*'Formula Audit'!H$42</f>
        <v>0</v>
      </c>
      <c r="M164" s="290">
        <f>$E164*$F164*'Formula Audit'!I$42</f>
        <v>0</v>
      </c>
      <c r="N164" s="290">
        <f>$E164*$F164*'Formula Audit'!J$42</f>
        <v>0</v>
      </c>
      <c r="O164" s="290">
        <f>$E164*$F164*'Formula Audit'!K$42</f>
        <v>0</v>
      </c>
      <c r="P164" s="290">
        <f>$E164*$F164*'Formula Audit'!L$42</f>
        <v>0</v>
      </c>
      <c r="Q164" s="290">
        <f>$E164*$F164*'Formula Audit'!M$42</f>
        <v>0</v>
      </c>
      <c r="R164" s="290">
        <f>$E164*$F164*'Formula Audit'!N$42</f>
        <v>0</v>
      </c>
      <c r="S164" s="291">
        <f>SUM(G164:R164)</f>
        <v>0</v>
      </c>
    </row>
    <row r="165" spans="1:19" x14ac:dyDescent="0.3">
      <c r="A165" s="64"/>
      <c r="B165" s="396"/>
      <c r="C165" s="12"/>
      <c r="D165" s="216" t="s">
        <v>104</v>
      </c>
      <c r="E165" s="483"/>
      <c r="F165" s="484"/>
      <c r="G165" s="290">
        <f>$E165*$F165*'Formula Audit'!C$42</f>
        <v>0</v>
      </c>
      <c r="H165" s="290">
        <f>$E165*$F165*'Formula Audit'!D$42</f>
        <v>0</v>
      </c>
      <c r="I165" s="290">
        <f>$E165*$F165*'Formula Audit'!E$42</f>
        <v>0</v>
      </c>
      <c r="J165" s="290">
        <f>$E165*$F165*'Formula Audit'!F$42</f>
        <v>0</v>
      </c>
      <c r="K165" s="290">
        <f>$E165*$F165*'Formula Audit'!G$42</f>
        <v>0</v>
      </c>
      <c r="L165" s="290">
        <f>$E165*$F165*'Formula Audit'!H$42</f>
        <v>0</v>
      </c>
      <c r="M165" s="290">
        <f>$E165*$F165*'Formula Audit'!I$42</f>
        <v>0</v>
      </c>
      <c r="N165" s="290">
        <f>$E165*$F165*'Formula Audit'!J$42</f>
        <v>0</v>
      </c>
      <c r="O165" s="290">
        <f>$E165*$F165*'Formula Audit'!K$42</f>
        <v>0</v>
      </c>
      <c r="P165" s="290">
        <f>$E165*$F165*'Formula Audit'!L$42</f>
        <v>0</v>
      </c>
      <c r="Q165" s="290">
        <f>$E165*$F165*'Formula Audit'!M$42</f>
        <v>0</v>
      </c>
      <c r="R165" s="290">
        <f>$E165*$F165*'Formula Audit'!N$42</f>
        <v>0</v>
      </c>
      <c r="S165" s="291">
        <f>SUM(G165:R165)</f>
        <v>0</v>
      </c>
    </row>
    <row r="166" spans="1:19" x14ac:dyDescent="0.3">
      <c r="A166" s="64"/>
      <c r="B166" s="396"/>
      <c r="C166" s="12"/>
      <c r="D166" s="216" t="s">
        <v>104</v>
      </c>
      <c r="E166" s="483"/>
      <c r="F166" s="484"/>
      <c r="G166" s="290">
        <f>$E166*$F166*'Formula Audit'!C$42</f>
        <v>0</v>
      </c>
      <c r="H166" s="290">
        <f>$E166*$F166*'Formula Audit'!D$42</f>
        <v>0</v>
      </c>
      <c r="I166" s="290">
        <f>$E166*$F166*'Formula Audit'!E$42</f>
        <v>0</v>
      </c>
      <c r="J166" s="290">
        <f>$E166*$F166*'Formula Audit'!F$42</f>
        <v>0</v>
      </c>
      <c r="K166" s="290">
        <f>$E166*$F166*'Formula Audit'!G$42</f>
        <v>0</v>
      </c>
      <c r="L166" s="290">
        <f>$E166*$F166*'Formula Audit'!H$42</f>
        <v>0</v>
      </c>
      <c r="M166" s="290">
        <f>$E166*$F166*'Formula Audit'!I$42</f>
        <v>0</v>
      </c>
      <c r="N166" s="290">
        <f>$E166*$F166*'Formula Audit'!J$42</f>
        <v>0</v>
      </c>
      <c r="O166" s="290">
        <f>$E166*$F166*'Formula Audit'!K$42</f>
        <v>0</v>
      </c>
      <c r="P166" s="290">
        <f>$E166*$F166*'Formula Audit'!L$42</f>
        <v>0</v>
      </c>
      <c r="Q166" s="290">
        <f>$E166*$F166*'Formula Audit'!M$42</f>
        <v>0</v>
      </c>
      <c r="R166" s="290">
        <f>$E166*$F166*'Formula Audit'!N$42</f>
        <v>0</v>
      </c>
      <c r="S166" s="291">
        <f>SUM(G166:R166)</f>
        <v>0</v>
      </c>
    </row>
    <row r="167" spans="1:19" x14ac:dyDescent="0.3">
      <c r="A167" s="64"/>
      <c r="B167" s="398"/>
      <c r="C167" s="220" t="s">
        <v>105</v>
      </c>
      <c r="D167" s="27"/>
      <c r="E167" s="292">
        <f>SUM(E157:E166)</f>
        <v>663</v>
      </c>
      <c r="F167" s="100"/>
      <c r="G167" s="293">
        <f>SUM(G157:G166)</f>
        <v>15549.199566000001</v>
      </c>
      <c r="H167" s="293">
        <f>SUM(H157:H166)</f>
        <v>15690.806982000002</v>
      </c>
      <c r="I167" s="293">
        <f>SUM(I157:I166)</f>
        <v>15832.414398000001</v>
      </c>
      <c r="J167" s="293">
        <f>SUM(J157:J166)</f>
        <v>15974.006547999999</v>
      </c>
      <c r="K167" s="293">
        <f>SUM(K157:K166)</f>
        <v>16682.028362000001</v>
      </c>
      <c r="L167" s="293">
        <f>SUM(L157:L166)</f>
        <v>16965.227928</v>
      </c>
      <c r="M167" s="293">
        <f>SUM(M157:M166)</f>
        <v>16398.813529999999</v>
      </c>
      <c r="N167" s="293">
        <f>SUM(N157:N166)</f>
        <v>15974.006547999999</v>
      </c>
      <c r="O167" s="293">
        <f>SUM(O157:O166)</f>
        <v>14982.800433999999</v>
      </c>
      <c r="P167" s="293">
        <f>SUM(P157:P166)</f>
        <v>15690.806982000002</v>
      </c>
      <c r="Q167" s="293">
        <f>SUM(Q157:Q166)</f>
        <v>16398.813529999999</v>
      </c>
      <c r="R167" s="293">
        <f>SUM(R157:R166)</f>
        <v>16965.227928</v>
      </c>
      <c r="S167" s="294">
        <f>SUM(S157:S166)</f>
        <v>193104.15273599996</v>
      </c>
    </row>
    <row r="168" spans="1:19" x14ac:dyDescent="0.3">
      <c r="A168" s="64"/>
      <c r="B168" s="396"/>
      <c r="C168" s="12"/>
      <c r="D168" s="12"/>
      <c r="E168" s="89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1"/>
    </row>
    <row r="169" spans="1:19" x14ac:dyDescent="0.3">
      <c r="A169" s="64"/>
      <c r="B169" s="396"/>
      <c r="C169" s="12"/>
      <c r="D169" s="216" t="s">
        <v>106</v>
      </c>
      <c r="E169" s="288">
        <v>206</v>
      </c>
      <c r="F169" s="289">
        <v>9</v>
      </c>
      <c r="G169" s="290">
        <f>$E169*$F169*'Formula Audit'!C$42</f>
        <v>1888.393554</v>
      </c>
      <c r="H169" s="290">
        <f>$E169*$F169*'Formula Audit'!D$42</f>
        <v>1905.5912580000002</v>
      </c>
      <c r="I169" s="290">
        <f>$E169*$F169*'Formula Audit'!E$42</f>
        <v>1922.7889620000003</v>
      </c>
      <c r="J169" s="290">
        <f>$E169*$F169*'Formula Audit'!F$42</f>
        <v>1939.9848120000001</v>
      </c>
      <c r="K169" s="290">
        <f>$E169*$F169*'Formula Audit'!G$42</f>
        <v>2025.9714779999999</v>
      </c>
      <c r="L169" s="290">
        <f>$E169*$F169*'Formula Audit'!H$42</f>
        <v>2060.3650320000002</v>
      </c>
      <c r="M169" s="290">
        <f>$E169*$F169*'Formula Audit'!I$42</f>
        <v>1991.5760700000001</v>
      </c>
      <c r="N169" s="290">
        <f>$E169*$F169*'Formula Audit'!J$42</f>
        <v>1939.9848120000001</v>
      </c>
      <c r="O169" s="290">
        <f>$E169*$F169*'Formula Audit'!K$42</f>
        <v>1819.606446</v>
      </c>
      <c r="P169" s="290">
        <f>$E169*$F169*'Formula Audit'!L$42</f>
        <v>1905.5912580000002</v>
      </c>
      <c r="Q169" s="290">
        <f>$E169*$F169*'Formula Audit'!M$42</f>
        <v>1991.5760700000001</v>
      </c>
      <c r="R169" s="290">
        <f>$E169*$F169*'Formula Audit'!N$42</f>
        <v>2060.3650320000002</v>
      </c>
      <c r="S169" s="291">
        <f>SUM(G169:R169)</f>
        <v>23451.794784000002</v>
      </c>
    </row>
    <row r="170" spans="1:19" x14ac:dyDescent="0.3">
      <c r="A170" s="64"/>
      <c r="B170" s="396"/>
      <c r="C170" s="12"/>
      <c r="D170" s="216" t="s">
        <v>107</v>
      </c>
      <c r="E170" s="288">
        <v>231</v>
      </c>
      <c r="F170" s="289">
        <v>21</v>
      </c>
      <c r="G170" s="290">
        <f>$E170*$F170*'Formula Audit'!C$42</f>
        <v>4940.9909010000001</v>
      </c>
      <c r="H170" s="290">
        <f>$E170*$F170*'Formula Audit'!D$42</f>
        <v>4985.9887770000005</v>
      </c>
      <c r="I170" s="290">
        <f>$E170*$F170*'Formula Audit'!E$42</f>
        <v>5030.9866530000008</v>
      </c>
      <c r="J170" s="290">
        <f>$E170*$F170*'Formula Audit'!F$42</f>
        <v>5075.9796779999997</v>
      </c>
      <c r="K170" s="290">
        <f>$E170*$F170*'Formula Audit'!G$42</f>
        <v>5300.964207</v>
      </c>
      <c r="L170" s="290">
        <f>$E170*$F170*'Formula Audit'!H$42</f>
        <v>5390.9551080000001</v>
      </c>
      <c r="M170" s="290">
        <f>$E170*$F170*'Formula Audit'!I$42</f>
        <v>5210.9684550000002</v>
      </c>
      <c r="N170" s="290">
        <f>$E170*$F170*'Formula Audit'!J$42</f>
        <v>5075.9796779999997</v>
      </c>
      <c r="O170" s="290">
        <f>$E170*$F170*'Formula Audit'!K$42</f>
        <v>4761.0090989999999</v>
      </c>
      <c r="P170" s="290">
        <f>$E170*$F170*'Formula Audit'!L$42</f>
        <v>4985.9887770000005</v>
      </c>
      <c r="Q170" s="290">
        <f>$E170*$F170*'Formula Audit'!M$42</f>
        <v>5210.9684550000002</v>
      </c>
      <c r="R170" s="290">
        <f>$E170*$F170*'Formula Audit'!N$42</f>
        <v>5390.9551080000001</v>
      </c>
      <c r="S170" s="291">
        <f>SUM(G170:R170)</f>
        <v>61361.734896000002</v>
      </c>
    </row>
    <row r="171" spans="1:19" x14ac:dyDescent="0.3">
      <c r="A171" s="64"/>
      <c r="B171" s="396"/>
      <c r="C171" s="12"/>
      <c r="D171" s="216" t="s">
        <v>108</v>
      </c>
      <c r="E171" s="288">
        <v>121</v>
      </c>
      <c r="F171" s="289">
        <v>33</v>
      </c>
      <c r="G171" s="290">
        <f>$E171*$F171*'Formula Audit'!C$42</f>
        <v>4067.0741429999998</v>
      </c>
      <c r="H171" s="290">
        <f>$E171*$F171*'Formula Audit'!D$42</f>
        <v>4104.1132109999999</v>
      </c>
      <c r="I171" s="290">
        <f>$E171*$F171*'Formula Audit'!E$42</f>
        <v>4141.1522790000008</v>
      </c>
      <c r="J171" s="290">
        <f>$E171*$F171*'Formula Audit'!F$42</f>
        <v>4178.1873539999997</v>
      </c>
      <c r="K171" s="290">
        <f>$E171*$F171*'Formula Audit'!G$42</f>
        <v>4363.3787009999996</v>
      </c>
      <c r="L171" s="290">
        <f>$E171*$F171*'Formula Audit'!H$42</f>
        <v>4437.4528439999995</v>
      </c>
      <c r="M171" s="290">
        <f>$E171*$F171*'Formula Audit'!I$42</f>
        <v>4289.3005650000005</v>
      </c>
      <c r="N171" s="290">
        <f>$E171*$F171*'Formula Audit'!J$42</f>
        <v>4178.1873539999997</v>
      </c>
      <c r="O171" s="290">
        <f>$E171*$F171*'Formula Audit'!K$42</f>
        <v>3918.9258570000002</v>
      </c>
      <c r="P171" s="290">
        <f>$E171*$F171*'Formula Audit'!L$42</f>
        <v>4104.1132109999999</v>
      </c>
      <c r="Q171" s="290">
        <f>$E171*$F171*'Formula Audit'!M$42</f>
        <v>4289.3005650000005</v>
      </c>
      <c r="R171" s="290">
        <f>$E171*$F171*'Formula Audit'!N$42</f>
        <v>4437.4528439999995</v>
      </c>
      <c r="S171" s="291">
        <f>SUM(G171:R171)</f>
        <v>50508.638928</v>
      </c>
    </row>
    <row r="172" spans="1:19" x14ac:dyDescent="0.3">
      <c r="A172" s="64"/>
      <c r="B172" s="396"/>
      <c r="C172" s="12"/>
      <c r="D172" s="216" t="s">
        <v>109</v>
      </c>
      <c r="E172" s="288">
        <v>100</v>
      </c>
      <c r="F172" s="289">
        <v>35</v>
      </c>
      <c r="G172" s="290">
        <f>$E172*$F172*'Formula Audit'!C$42</f>
        <v>3564.9285</v>
      </c>
      <c r="H172" s="290">
        <f>$E172*$F172*'Formula Audit'!D$42</f>
        <v>3597.3945000000003</v>
      </c>
      <c r="I172" s="290">
        <f>$E172*$F172*'Formula Audit'!E$42</f>
        <v>3629.8605000000002</v>
      </c>
      <c r="J172" s="290">
        <f>$E172*$F172*'Formula Audit'!F$42</f>
        <v>3662.3230000000003</v>
      </c>
      <c r="K172" s="290">
        <f>$E172*$F172*'Formula Audit'!G$42</f>
        <v>3824.6495</v>
      </c>
      <c r="L172" s="290">
        <f>$E172*$F172*'Formula Audit'!H$42</f>
        <v>3889.578</v>
      </c>
      <c r="M172" s="290">
        <f>$E172*$F172*'Formula Audit'!I$42</f>
        <v>3759.7175000000002</v>
      </c>
      <c r="N172" s="290">
        <f>$E172*$F172*'Formula Audit'!J$42</f>
        <v>3662.3230000000003</v>
      </c>
      <c r="O172" s="290">
        <f>$E172*$F172*'Formula Audit'!K$42</f>
        <v>3435.0715</v>
      </c>
      <c r="P172" s="290">
        <f>$E172*$F172*'Formula Audit'!L$42</f>
        <v>3597.3945000000003</v>
      </c>
      <c r="Q172" s="290">
        <f>$E172*$F172*'Formula Audit'!M$42</f>
        <v>3759.7175000000002</v>
      </c>
      <c r="R172" s="290">
        <f>$E172*$F172*'Formula Audit'!N$42</f>
        <v>3889.578</v>
      </c>
      <c r="S172" s="291">
        <f>SUM(G172:R172)</f>
        <v>44272.536000000007</v>
      </c>
    </row>
    <row r="173" spans="1:19" x14ac:dyDescent="0.3">
      <c r="A173" s="64"/>
      <c r="B173" s="396"/>
      <c r="C173" s="12"/>
      <c r="D173" s="216" t="s">
        <v>110</v>
      </c>
      <c r="E173" s="288">
        <v>58</v>
      </c>
      <c r="F173" s="289">
        <v>40</v>
      </c>
      <c r="G173" s="290">
        <f>$E173*$F173*'Formula Audit'!C$42</f>
        <v>2363.0383200000001</v>
      </c>
      <c r="H173" s="290">
        <f>$E173*$F173*'Formula Audit'!D$42</f>
        <v>2384.5586400000002</v>
      </c>
      <c r="I173" s="290">
        <f>$E173*$F173*'Formula Audit'!E$42</f>
        <v>2406.0789600000003</v>
      </c>
      <c r="J173" s="290">
        <f>$E173*$F173*'Formula Audit'!F$42</f>
        <v>2427.5969599999999</v>
      </c>
      <c r="K173" s="290">
        <f>$E173*$F173*'Formula Audit'!G$42</f>
        <v>2535.1962399999998</v>
      </c>
      <c r="L173" s="290">
        <f>$E173*$F173*'Formula Audit'!H$42</f>
        <v>2578.2345599999999</v>
      </c>
      <c r="M173" s="290">
        <f>$E173*$F173*'Formula Audit'!I$42</f>
        <v>2492.1556</v>
      </c>
      <c r="N173" s="290">
        <f>$E173*$F173*'Formula Audit'!J$42</f>
        <v>2427.5969599999999</v>
      </c>
      <c r="O173" s="290">
        <f>$E173*$F173*'Formula Audit'!K$42</f>
        <v>2276.9616799999999</v>
      </c>
      <c r="P173" s="290">
        <f>$E173*$F173*'Formula Audit'!L$42</f>
        <v>2384.5586400000002</v>
      </c>
      <c r="Q173" s="290">
        <f>$E173*$F173*'Formula Audit'!M$42</f>
        <v>2492.1556</v>
      </c>
      <c r="R173" s="290">
        <f>$E173*$F173*'Formula Audit'!N$42</f>
        <v>2578.2345599999999</v>
      </c>
      <c r="S173" s="291">
        <f>SUM(G173:R173)</f>
        <v>29346.366719999995</v>
      </c>
    </row>
    <row r="174" spans="1:19" x14ac:dyDescent="0.3">
      <c r="A174" s="64"/>
      <c r="B174" s="396"/>
      <c r="C174" s="12"/>
      <c r="D174" s="216" t="s">
        <v>111</v>
      </c>
      <c r="E174" s="483"/>
      <c r="F174" s="484"/>
      <c r="G174" s="290">
        <f>$E174*$F174*'Formula Audit'!C$42</f>
        <v>0</v>
      </c>
      <c r="H174" s="290">
        <f>$E174*$F174*'Formula Audit'!D$42</f>
        <v>0</v>
      </c>
      <c r="I174" s="290">
        <f>$E174*$F174*'Formula Audit'!E$42</f>
        <v>0</v>
      </c>
      <c r="J174" s="290">
        <f>$E174*$F174*'Formula Audit'!F$42</f>
        <v>0</v>
      </c>
      <c r="K174" s="290">
        <f>$E174*$F174*'Formula Audit'!G$42</f>
        <v>0</v>
      </c>
      <c r="L174" s="290">
        <f>$E174*$F174*'Formula Audit'!H$42</f>
        <v>0</v>
      </c>
      <c r="M174" s="290">
        <f>$E174*$F174*'Formula Audit'!I$42</f>
        <v>0</v>
      </c>
      <c r="N174" s="290">
        <f>$E174*$F174*'Formula Audit'!J$42</f>
        <v>0</v>
      </c>
      <c r="O174" s="290">
        <f>$E174*$F174*'Formula Audit'!K$42</f>
        <v>0</v>
      </c>
      <c r="P174" s="290">
        <f>$E174*$F174*'Formula Audit'!L$42</f>
        <v>0</v>
      </c>
      <c r="Q174" s="290">
        <f>$E174*$F174*'Formula Audit'!M$42</f>
        <v>0</v>
      </c>
      <c r="R174" s="290">
        <f>$E174*$F174*'Formula Audit'!N$42</f>
        <v>0</v>
      </c>
      <c r="S174" s="291">
        <f>SUM(G174:R174)</f>
        <v>0</v>
      </c>
    </row>
    <row r="175" spans="1:19" x14ac:dyDescent="0.3">
      <c r="A175" s="64"/>
      <c r="B175" s="396"/>
      <c r="C175" s="12"/>
      <c r="D175" s="216" t="s">
        <v>111</v>
      </c>
      <c r="E175" s="483"/>
      <c r="F175" s="484"/>
      <c r="G175" s="290">
        <f>$E175*$F175*'Formula Audit'!C$42</f>
        <v>0</v>
      </c>
      <c r="H175" s="290">
        <f>$E175*$F175*'Formula Audit'!D$42</f>
        <v>0</v>
      </c>
      <c r="I175" s="290">
        <f>$E175*$F175*'Formula Audit'!E$42</f>
        <v>0</v>
      </c>
      <c r="J175" s="290">
        <f>$E175*$F175*'Formula Audit'!F$42</f>
        <v>0</v>
      </c>
      <c r="K175" s="290">
        <f>$E175*$F175*'Formula Audit'!G$42</f>
        <v>0</v>
      </c>
      <c r="L175" s="290">
        <f>$E175*$F175*'Formula Audit'!H$42</f>
        <v>0</v>
      </c>
      <c r="M175" s="290">
        <f>$E175*$F175*'Formula Audit'!I$42</f>
        <v>0</v>
      </c>
      <c r="N175" s="290">
        <f>$E175*$F175*'Formula Audit'!J$42</f>
        <v>0</v>
      </c>
      <c r="O175" s="290">
        <f>$E175*$F175*'Formula Audit'!K$42</f>
        <v>0</v>
      </c>
      <c r="P175" s="290">
        <f>$E175*$F175*'Formula Audit'!L$42</f>
        <v>0</v>
      </c>
      <c r="Q175" s="290">
        <f>$E175*$F175*'Formula Audit'!M$42</f>
        <v>0</v>
      </c>
      <c r="R175" s="290">
        <f>$E175*$F175*'Formula Audit'!N$42</f>
        <v>0</v>
      </c>
      <c r="S175" s="291">
        <f>SUM(G175:R175)</f>
        <v>0</v>
      </c>
    </row>
    <row r="176" spans="1:19" x14ac:dyDescent="0.3">
      <c r="A176" s="64"/>
      <c r="B176" s="396"/>
      <c r="C176" s="12"/>
      <c r="D176" s="216" t="s">
        <v>111</v>
      </c>
      <c r="E176" s="483"/>
      <c r="F176" s="484"/>
      <c r="G176" s="290">
        <f>$E176*$F176*'Formula Audit'!C$42</f>
        <v>0</v>
      </c>
      <c r="H176" s="290">
        <f>$E176*$F176*'Formula Audit'!D$42</f>
        <v>0</v>
      </c>
      <c r="I176" s="290">
        <f>$E176*$F176*'Formula Audit'!E$42</f>
        <v>0</v>
      </c>
      <c r="J176" s="290">
        <f>$E176*$F176*'Formula Audit'!F$42</f>
        <v>0</v>
      </c>
      <c r="K176" s="290">
        <f>$E176*$F176*'Formula Audit'!G$42</f>
        <v>0</v>
      </c>
      <c r="L176" s="290">
        <f>$E176*$F176*'Formula Audit'!H$42</f>
        <v>0</v>
      </c>
      <c r="M176" s="290">
        <f>$E176*$F176*'Formula Audit'!I$42</f>
        <v>0</v>
      </c>
      <c r="N176" s="290">
        <f>$E176*$F176*'Formula Audit'!J$42</f>
        <v>0</v>
      </c>
      <c r="O176" s="290">
        <f>$E176*$F176*'Formula Audit'!K$42</f>
        <v>0</v>
      </c>
      <c r="P176" s="290">
        <f>$E176*$F176*'Formula Audit'!L$42</f>
        <v>0</v>
      </c>
      <c r="Q176" s="290">
        <f>$E176*$F176*'Formula Audit'!M$42</f>
        <v>0</v>
      </c>
      <c r="R176" s="290">
        <f>$E176*$F176*'Formula Audit'!N$42</f>
        <v>0</v>
      </c>
      <c r="S176" s="291">
        <f>SUM(G176:R176)</f>
        <v>0</v>
      </c>
    </row>
    <row r="177" spans="1:19" x14ac:dyDescent="0.3">
      <c r="A177" s="64"/>
      <c r="B177" s="396"/>
      <c r="C177" s="12"/>
      <c r="D177" s="216" t="s">
        <v>111</v>
      </c>
      <c r="E177" s="483"/>
      <c r="F177" s="484"/>
      <c r="G177" s="290">
        <f>$E177*$F177*'Formula Audit'!C$42</f>
        <v>0</v>
      </c>
      <c r="H177" s="290">
        <f>$E177*$F177*'Formula Audit'!D$42</f>
        <v>0</v>
      </c>
      <c r="I177" s="290">
        <f>$E177*$F177*'Formula Audit'!E$42</f>
        <v>0</v>
      </c>
      <c r="J177" s="290">
        <f>$E177*$F177*'Formula Audit'!F$42</f>
        <v>0</v>
      </c>
      <c r="K177" s="290">
        <f>$E177*$F177*'Formula Audit'!G$42</f>
        <v>0</v>
      </c>
      <c r="L177" s="290">
        <f>$E177*$F177*'Formula Audit'!H$42</f>
        <v>0</v>
      </c>
      <c r="M177" s="290">
        <f>$E177*$F177*'Formula Audit'!I$42</f>
        <v>0</v>
      </c>
      <c r="N177" s="290">
        <f>$E177*$F177*'Formula Audit'!J$42</f>
        <v>0</v>
      </c>
      <c r="O177" s="290">
        <f>$E177*$F177*'Formula Audit'!K$42</f>
        <v>0</v>
      </c>
      <c r="P177" s="290">
        <f>$E177*$F177*'Formula Audit'!L$42</f>
        <v>0</v>
      </c>
      <c r="Q177" s="290">
        <f>$E177*$F177*'Formula Audit'!M$42</f>
        <v>0</v>
      </c>
      <c r="R177" s="290">
        <f>$E177*$F177*'Formula Audit'!N$42</f>
        <v>0</v>
      </c>
      <c r="S177" s="291">
        <f>SUM(G177:R177)</f>
        <v>0</v>
      </c>
    </row>
    <row r="178" spans="1:19" x14ac:dyDescent="0.3">
      <c r="A178" s="64"/>
      <c r="B178" s="396"/>
      <c r="C178" s="12"/>
      <c r="D178" s="216" t="s">
        <v>111</v>
      </c>
      <c r="E178" s="483"/>
      <c r="F178" s="484"/>
      <c r="G178" s="290">
        <f>$E178*$F178*'Formula Audit'!C$42</f>
        <v>0</v>
      </c>
      <c r="H178" s="290">
        <f>$E178*$F178*'Formula Audit'!D$42</f>
        <v>0</v>
      </c>
      <c r="I178" s="290">
        <f>$E178*$F178*'Formula Audit'!E$42</f>
        <v>0</v>
      </c>
      <c r="J178" s="290">
        <f>$E178*$F178*'Formula Audit'!F$42</f>
        <v>0</v>
      </c>
      <c r="K178" s="290">
        <f>$E178*$F178*'Formula Audit'!G$42</f>
        <v>0</v>
      </c>
      <c r="L178" s="290">
        <f>$E178*$F178*'Formula Audit'!H$42</f>
        <v>0</v>
      </c>
      <c r="M178" s="290">
        <f>$E178*$F178*'Formula Audit'!I$42</f>
        <v>0</v>
      </c>
      <c r="N178" s="290">
        <f>$E178*$F178*'Formula Audit'!J$42</f>
        <v>0</v>
      </c>
      <c r="O178" s="290">
        <f>$E178*$F178*'Formula Audit'!K$42</f>
        <v>0</v>
      </c>
      <c r="P178" s="290">
        <f>$E178*$F178*'Formula Audit'!L$42</f>
        <v>0</v>
      </c>
      <c r="Q178" s="290">
        <f>$E178*$F178*'Formula Audit'!M$42</f>
        <v>0</v>
      </c>
      <c r="R178" s="290">
        <f>$E178*$F178*'Formula Audit'!N$42</f>
        <v>0</v>
      </c>
      <c r="S178" s="291">
        <f>SUM(G178:R178)</f>
        <v>0</v>
      </c>
    </row>
    <row r="179" spans="1:19" x14ac:dyDescent="0.3">
      <c r="A179" s="64"/>
      <c r="B179" s="398"/>
      <c r="C179" s="220" t="s">
        <v>112</v>
      </c>
      <c r="D179" s="27"/>
      <c r="E179" s="292">
        <f>SUM(E169:E178)</f>
        <v>716</v>
      </c>
      <c r="F179" s="100"/>
      <c r="G179" s="293">
        <f>SUM(G169:G178)</f>
        <v>16824.425418000003</v>
      </c>
      <c r="H179" s="293">
        <f>SUM(H169:H178)</f>
        <v>16977.646386</v>
      </c>
      <c r="I179" s="293">
        <f>SUM(I169:I178)</f>
        <v>17130.867354000002</v>
      </c>
      <c r="J179" s="293">
        <f>SUM(J169:J178)</f>
        <v>17284.071803999999</v>
      </c>
      <c r="K179" s="293">
        <f>SUM(K169:K178)</f>
        <v>18050.160125999999</v>
      </c>
      <c r="L179" s="293">
        <f>SUM(L169:L178)</f>
        <v>18356.585543999998</v>
      </c>
      <c r="M179" s="293">
        <f>SUM(M169:M178)</f>
        <v>17743.71819</v>
      </c>
      <c r="N179" s="293">
        <f>SUM(N169:N178)</f>
        <v>17284.071803999999</v>
      </c>
      <c r="O179" s="293">
        <f>SUM(O169:O178)</f>
        <v>16211.574581999999</v>
      </c>
      <c r="P179" s="293">
        <f>SUM(P169:P178)</f>
        <v>16977.646386</v>
      </c>
      <c r="Q179" s="293">
        <f>SUM(Q169:Q178)</f>
        <v>17743.71819</v>
      </c>
      <c r="R179" s="293">
        <f>SUM(R169:R178)</f>
        <v>18356.585543999998</v>
      </c>
      <c r="S179" s="294">
        <f>SUM(S169:S178)</f>
        <v>208941.07132799999</v>
      </c>
    </row>
    <row r="180" spans="1:19" x14ac:dyDescent="0.3">
      <c r="A180" s="64"/>
      <c r="B180" s="396"/>
      <c r="C180" s="12"/>
      <c r="D180" s="12"/>
      <c r="E180" s="89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1"/>
    </row>
    <row r="181" spans="1:19" x14ac:dyDescent="0.3">
      <c r="A181" s="95"/>
      <c r="B181" s="399"/>
      <c r="C181" s="295" t="s">
        <v>113</v>
      </c>
      <c r="D181" s="101"/>
      <c r="E181" s="292">
        <f>E167+E179</f>
        <v>1379</v>
      </c>
      <c r="F181" s="100"/>
      <c r="G181" s="293">
        <f>G167+G179</f>
        <v>32373.624984000002</v>
      </c>
      <c r="H181" s="293">
        <f>H167+H179</f>
        <v>32668.453368000002</v>
      </c>
      <c r="I181" s="293">
        <f>I167+I179</f>
        <v>32963.281752000003</v>
      </c>
      <c r="J181" s="293">
        <f>J167+J179</f>
        <v>33258.078351999997</v>
      </c>
      <c r="K181" s="293">
        <f>K167+K179</f>
        <v>34732.188488</v>
      </c>
      <c r="L181" s="293">
        <f>L167+L179</f>
        <v>35321.813471999994</v>
      </c>
      <c r="M181" s="293">
        <f>M167+M179</f>
        <v>34142.531719999999</v>
      </c>
      <c r="N181" s="293">
        <f>N167+N179</f>
        <v>33258.078351999997</v>
      </c>
      <c r="O181" s="293">
        <f>O167+O179</f>
        <v>31194.375015999998</v>
      </c>
      <c r="P181" s="293">
        <f>P167+P179</f>
        <v>32668.453368000002</v>
      </c>
      <c r="Q181" s="293">
        <f>Q167+Q179</f>
        <v>34142.531719999999</v>
      </c>
      <c r="R181" s="293">
        <f>R167+R179</f>
        <v>35321.813471999994</v>
      </c>
      <c r="S181" s="294">
        <f>S167+S179</f>
        <v>402045.22406399995</v>
      </c>
    </row>
    <row r="182" spans="1:19" x14ac:dyDescent="0.3">
      <c r="A182" s="64"/>
      <c r="B182" s="396"/>
      <c r="C182" s="92"/>
      <c r="D182" s="9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x14ac:dyDescent="0.3">
      <c r="A183" s="64"/>
      <c r="B183" s="55"/>
      <c r="C183" s="108" t="s">
        <v>114</v>
      </c>
      <c r="D183" s="108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</row>
    <row r="184" spans="1:19" x14ac:dyDescent="0.3">
      <c r="A184" s="64"/>
      <c r="B184" s="396"/>
      <c r="C184" s="93"/>
      <c r="D184" s="9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spans="1:19" x14ac:dyDescent="0.3">
      <c r="A185" s="64"/>
      <c r="B185" s="398"/>
      <c r="C185" s="296" t="s">
        <v>94</v>
      </c>
      <c r="D185" s="102"/>
      <c r="E185" s="102"/>
      <c r="F185" s="297" t="s">
        <v>115</v>
      </c>
      <c r="G185" s="441" t="s">
        <v>116</v>
      </c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286" t="s">
        <v>117</v>
      </c>
    </row>
    <row r="186" spans="1:19" x14ac:dyDescent="0.3">
      <c r="A186" s="95"/>
      <c r="B186" s="399"/>
      <c r="C186" s="101"/>
      <c r="D186" s="295" t="s">
        <v>99</v>
      </c>
      <c r="E186" s="101"/>
      <c r="F186" s="298">
        <v>0.17840600000000001</v>
      </c>
      <c r="G186" s="293">
        <f>$F186*G157</f>
        <v>348.34882380640204</v>
      </c>
      <c r="H186" s="293">
        <f>$F186*H157</f>
        <v>351.52125571175407</v>
      </c>
      <c r="I186" s="293">
        <f>$F186*I157</f>
        <v>354.69368761710609</v>
      </c>
      <c r="J186" s="293">
        <f>$F186*J157</f>
        <v>357.86577751815599</v>
      </c>
      <c r="K186" s="293">
        <f>$F186*K157</f>
        <v>373.72759504061401</v>
      </c>
      <c r="L186" s="293">
        <f>$F186*L157</f>
        <v>380.07211684701599</v>
      </c>
      <c r="M186" s="293">
        <f>$F186*M157</f>
        <v>367.38273122991006</v>
      </c>
      <c r="N186" s="293">
        <f>$F186*N157</f>
        <v>357.86577751815599</v>
      </c>
      <c r="O186" s="293">
        <f>$F186*O157</f>
        <v>335.65978019359801</v>
      </c>
      <c r="P186" s="293">
        <f>$F186*P157</f>
        <v>351.52125571175407</v>
      </c>
      <c r="Q186" s="293">
        <f>$F186*Q157</f>
        <v>367.38273122991006</v>
      </c>
      <c r="R186" s="293">
        <f>$F186*R157</f>
        <v>380.07211684701599</v>
      </c>
      <c r="S186" s="294">
        <f>SUM(G186:R186)</f>
        <v>4326.1136492713922</v>
      </c>
    </row>
    <row r="187" spans="1:19" x14ac:dyDescent="0.3">
      <c r="A187" s="95"/>
      <c r="B187" s="399"/>
      <c r="C187" s="101"/>
      <c r="D187" s="295" t="s">
        <v>100</v>
      </c>
      <c r="E187" s="101"/>
      <c r="F187" s="298">
        <v>0.151564</v>
      </c>
      <c r="G187" s="293">
        <f>$F187*G158</f>
        <v>508.513436438616</v>
      </c>
      <c r="H187" s="293">
        <f>$F187*H158</f>
        <v>513.14449628383204</v>
      </c>
      <c r="I187" s="293">
        <f>$F187*I158</f>
        <v>517.77555612904814</v>
      </c>
      <c r="J187" s="293">
        <f>$F187*J158</f>
        <v>522.40611672244802</v>
      </c>
      <c r="K187" s="293">
        <f>$F187*K158</f>
        <v>545.56091669671196</v>
      </c>
      <c r="L187" s="293">
        <f>$F187*L158</f>
        <v>554.82253713532793</v>
      </c>
      <c r="M187" s="293">
        <f>$F187*M158</f>
        <v>536.29879700627998</v>
      </c>
      <c r="N187" s="293">
        <f>$F187*N158</f>
        <v>522.40611672244802</v>
      </c>
      <c r="O187" s="293">
        <f>$F187*O158</f>
        <v>489.99019556138404</v>
      </c>
      <c r="P187" s="293">
        <f>$F187*P158</f>
        <v>513.14449628383204</v>
      </c>
      <c r="Q187" s="293">
        <f>$F187*Q158</f>
        <v>536.29879700627998</v>
      </c>
      <c r="R187" s="293">
        <f>$F187*R158</f>
        <v>554.82253713532793</v>
      </c>
      <c r="S187" s="294">
        <f>SUM(G187:R187)</f>
        <v>6315.1839991215375</v>
      </c>
    </row>
    <row r="188" spans="1:19" x14ac:dyDescent="0.3">
      <c r="A188" s="95"/>
      <c r="B188" s="399"/>
      <c r="C188" s="101"/>
      <c r="D188" s="295" t="s">
        <v>101</v>
      </c>
      <c r="E188" s="101"/>
      <c r="F188" s="298">
        <v>0.177153</v>
      </c>
      <c r="G188" s="293">
        <f>$F188*G159</f>
        <v>671.23443892716</v>
      </c>
      <c r="H188" s="293">
        <f>$F188*H159</f>
        <v>677.34740789532009</v>
      </c>
      <c r="I188" s="293">
        <f>$F188*I159</f>
        <v>683.46037686348006</v>
      </c>
      <c r="J188" s="293">
        <f>$F188*J159</f>
        <v>689.57268682248002</v>
      </c>
      <c r="K188" s="293">
        <f>$F188*K159</f>
        <v>720.13687265412</v>
      </c>
      <c r="L188" s="293">
        <f>$F188*L159</f>
        <v>732.36215158127993</v>
      </c>
      <c r="M188" s="293">
        <f>$F188*M159</f>
        <v>707.91093471780005</v>
      </c>
      <c r="N188" s="293">
        <f>$F188*N159</f>
        <v>689.57268682248002</v>
      </c>
      <c r="O188" s="293">
        <f>$F188*O159</f>
        <v>646.78388107284002</v>
      </c>
      <c r="P188" s="293">
        <f>$F188*P159</f>
        <v>677.34740789532009</v>
      </c>
      <c r="Q188" s="293">
        <f>$F188*Q159</f>
        <v>707.91093471780005</v>
      </c>
      <c r="R188" s="293">
        <f>$F188*R159</f>
        <v>732.36215158127993</v>
      </c>
      <c r="S188" s="294">
        <f>SUM(G188:R188)</f>
        <v>8336.00193155136</v>
      </c>
    </row>
    <row r="189" spans="1:19" x14ac:dyDescent="0.3">
      <c r="A189" s="95"/>
      <c r="B189" s="399"/>
      <c r="C189" s="101"/>
      <c r="D189" s="295" t="s">
        <v>102</v>
      </c>
      <c r="E189" s="101"/>
      <c r="F189" s="298">
        <v>0.136737</v>
      </c>
      <c r="G189" s="293">
        <f>$F189*G160</f>
        <v>612.80387558279995</v>
      </c>
      <c r="H189" s="293">
        <f>$F189*H160</f>
        <v>618.38471419559994</v>
      </c>
      <c r="I189" s="293">
        <f>$F189*I160</f>
        <v>623.96555280840005</v>
      </c>
      <c r="J189" s="293">
        <f>$F189*J160</f>
        <v>629.54578977840004</v>
      </c>
      <c r="K189" s="293">
        <f>$F189*K160</f>
        <v>657.4493811996</v>
      </c>
      <c r="L189" s="293">
        <f>$F189*L160</f>
        <v>668.61045678239998</v>
      </c>
      <c r="M189" s="293">
        <f>$F189*M160</f>
        <v>646.28770397400001</v>
      </c>
      <c r="N189" s="293">
        <f>$F189*N160</f>
        <v>629.54578977840004</v>
      </c>
      <c r="O189" s="293">
        <f>$F189*O160</f>
        <v>590.48172441719998</v>
      </c>
      <c r="P189" s="293">
        <f>$F189*P160</f>
        <v>618.38471419559994</v>
      </c>
      <c r="Q189" s="293">
        <f>$F189*Q160</f>
        <v>646.28770397400001</v>
      </c>
      <c r="R189" s="293">
        <f>$F189*R160</f>
        <v>668.61045678239998</v>
      </c>
      <c r="S189" s="294">
        <f>SUM(G189:R189)</f>
        <v>7610.3578634688001</v>
      </c>
    </row>
    <row r="190" spans="1:19" x14ac:dyDescent="0.3">
      <c r="A190" s="95"/>
      <c r="B190" s="399"/>
      <c r="C190" s="101"/>
      <c r="D190" s="295" t="s">
        <v>103</v>
      </c>
      <c r="E190" s="101"/>
      <c r="F190" s="298">
        <v>0.122669</v>
      </c>
      <c r="G190" s="293">
        <f>$F190*G161</f>
        <v>241.76786411776501</v>
      </c>
      <c r="H190" s="293">
        <f>$F190*H161</f>
        <v>243.96965735890501</v>
      </c>
      <c r="I190" s="293">
        <f>$F190*I161</f>
        <v>246.17145060004501</v>
      </c>
      <c r="J190" s="293">
        <f>$F190*J161</f>
        <v>248.37300647667001</v>
      </c>
      <c r="K190" s="293">
        <f>$F190*K161</f>
        <v>259.38173531785498</v>
      </c>
      <c r="L190" s="293">
        <f>$F190*L161</f>
        <v>263.78508443561998</v>
      </c>
      <c r="M190" s="293">
        <f>$F190*M161</f>
        <v>254.97814883557501</v>
      </c>
      <c r="N190" s="293">
        <f>$F190*N161</f>
        <v>248.37300647667001</v>
      </c>
      <c r="O190" s="293">
        <f>$F190*O161</f>
        <v>232.96116588223498</v>
      </c>
      <c r="P190" s="293">
        <f>$F190*P161</f>
        <v>243.96965735890501</v>
      </c>
      <c r="Q190" s="293">
        <f>$F190*Q161</f>
        <v>254.97814883557501</v>
      </c>
      <c r="R190" s="293">
        <f>$F190*R161</f>
        <v>263.78508443561998</v>
      </c>
      <c r="S190" s="294">
        <f>SUM(G190:R190)</f>
        <v>3002.4940101314396</v>
      </c>
    </row>
    <row r="191" spans="1:19" x14ac:dyDescent="0.3">
      <c r="A191" s="95"/>
      <c r="B191" s="399"/>
      <c r="C191" s="101"/>
      <c r="D191" s="295" t="s">
        <v>104</v>
      </c>
      <c r="E191" s="101"/>
      <c r="F191" s="103"/>
      <c r="G191" s="293">
        <f>$F191*G162</f>
        <v>0</v>
      </c>
      <c r="H191" s="293">
        <f>$F191*H162</f>
        <v>0</v>
      </c>
      <c r="I191" s="293">
        <f>$F191*I162</f>
        <v>0</v>
      </c>
      <c r="J191" s="293">
        <f>$F191*J162</f>
        <v>0</v>
      </c>
      <c r="K191" s="293">
        <f>$F191*K162</f>
        <v>0</v>
      </c>
      <c r="L191" s="293">
        <f>$F191*L162</f>
        <v>0</v>
      </c>
      <c r="M191" s="293">
        <f>$F191*M162</f>
        <v>0</v>
      </c>
      <c r="N191" s="293">
        <f>$F191*N162</f>
        <v>0</v>
      </c>
      <c r="O191" s="293">
        <f>$F191*O162</f>
        <v>0</v>
      </c>
      <c r="P191" s="293">
        <f>$F191*P162</f>
        <v>0</v>
      </c>
      <c r="Q191" s="293">
        <f>$F191*Q162</f>
        <v>0</v>
      </c>
      <c r="R191" s="293">
        <f>$F191*R162</f>
        <v>0</v>
      </c>
      <c r="S191" s="294">
        <f>SUM(G191:R191)</f>
        <v>0</v>
      </c>
    </row>
    <row r="192" spans="1:19" x14ac:dyDescent="0.3">
      <c r="A192" s="95"/>
      <c r="B192" s="399"/>
      <c r="C192" s="101"/>
      <c r="D192" s="295" t="s">
        <v>104</v>
      </c>
      <c r="E192" s="101"/>
      <c r="F192" s="103"/>
      <c r="G192" s="293">
        <f>$F192*G163</f>
        <v>0</v>
      </c>
      <c r="H192" s="293">
        <f>$F192*H163</f>
        <v>0</v>
      </c>
      <c r="I192" s="293">
        <f>$F192*I163</f>
        <v>0</v>
      </c>
      <c r="J192" s="293">
        <f>$F192*J163</f>
        <v>0</v>
      </c>
      <c r="K192" s="293">
        <f>$F192*K163</f>
        <v>0</v>
      </c>
      <c r="L192" s="293">
        <f>$F192*L163</f>
        <v>0</v>
      </c>
      <c r="M192" s="293">
        <f>$F192*M163</f>
        <v>0</v>
      </c>
      <c r="N192" s="293">
        <f>$F192*N163</f>
        <v>0</v>
      </c>
      <c r="O192" s="293">
        <f>$F192*O163</f>
        <v>0</v>
      </c>
      <c r="P192" s="293">
        <f>$F192*P163</f>
        <v>0</v>
      </c>
      <c r="Q192" s="293">
        <f>$F192*Q163</f>
        <v>0</v>
      </c>
      <c r="R192" s="293">
        <f>$F192*R163</f>
        <v>0</v>
      </c>
      <c r="S192" s="294">
        <f>SUM(G192:R192)</f>
        <v>0</v>
      </c>
    </row>
    <row r="193" spans="1:19" x14ac:dyDescent="0.3">
      <c r="A193" s="95"/>
      <c r="B193" s="399"/>
      <c r="C193" s="101"/>
      <c r="D193" s="295" t="s">
        <v>104</v>
      </c>
      <c r="E193" s="101"/>
      <c r="F193" s="103"/>
      <c r="G193" s="293">
        <f>$F193*G164</f>
        <v>0</v>
      </c>
      <c r="H193" s="293">
        <f>$F193*H164</f>
        <v>0</v>
      </c>
      <c r="I193" s="293">
        <f>$F193*I164</f>
        <v>0</v>
      </c>
      <c r="J193" s="293">
        <f>$F193*J164</f>
        <v>0</v>
      </c>
      <c r="K193" s="293">
        <f>$F193*K164</f>
        <v>0</v>
      </c>
      <c r="L193" s="293">
        <f>$F193*L164</f>
        <v>0</v>
      </c>
      <c r="M193" s="293">
        <f>$F193*M164</f>
        <v>0</v>
      </c>
      <c r="N193" s="293">
        <f>$F193*N164</f>
        <v>0</v>
      </c>
      <c r="O193" s="293">
        <f>$F193*O164</f>
        <v>0</v>
      </c>
      <c r="P193" s="293">
        <f>$F193*P164</f>
        <v>0</v>
      </c>
      <c r="Q193" s="293">
        <f>$F193*Q164</f>
        <v>0</v>
      </c>
      <c r="R193" s="293">
        <f>$F193*R164</f>
        <v>0</v>
      </c>
      <c r="S193" s="294">
        <f>SUM(G193:R193)</f>
        <v>0</v>
      </c>
    </row>
    <row r="194" spans="1:19" x14ac:dyDescent="0.3">
      <c r="A194" s="95"/>
      <c r="B194" s="399"/>
      <c r="C194" s="101"/>
      <c r="D194" s="295" t="s">
        <v>104</v>
      </c>
      <c r="E194" s="101"/>
      <c r="F194" s="103"/>
      <c r="G194" s="293">
        <f>$F194*G165</f>
        <v>0</v>
      </c>
      <c r="H194" s="293">
        <f>$F194*H165</f>
        <v>0</v>
      </c>
      <c r="I194" s="293">
        <f>$F194*I165</f>
        <v>0</v>
      </c>
      <c r="J194" s="293">
        <f>$F194*J165</f>
        <v>0</v>
      </c>
      <c r="K194" s="293">
        <f>$F194*K165</f>
        <v>0</v>
      </c>
      <c r="L194" s="293">
        <f>$F194*L165</f>
        <v>0</v>
      </c>
      <c r="M194" s="293">
        <f>$F194*M165</f>
        <v>0</v>
      </c>
      <c r="N194" s="293">
        <f>$F194*N165</f>
        <v>0</v>
      </c>
      <c r="O194" s="293">
        <f>$F194*O165</f>
        <v>0</v>
      </c>
      <c r="P194" s="293">
        <f>$F194*P165</f>
        <v>0</v>
      </c>
      <c r="Q194" s="293">
        <f>$F194*Q165</f>
        <v>0</v>
      </c>
      <c r="R194" s="293">
        <f>$F194*R165</f>
        <v>0</v>
      </c>
      <c r="S194" s="294">
        <f>SUM(G194:R194)</f>
        <v>0</v>
      </c>
    </row>
    <row r="195" spans="1:19" x14ac:dyDescent="0.3">
      <c r="A195" s="95"/>
      <c r="B195" s="399"/>
      <c r="C195" s="101"/>
      <c r="D195" s="295" t="s">
        <v>104</v>
      </c>
      <c r="E195" s="101"/>
      <c r="F195" s="103"/>
      <c r="G195" s="293">
        <f>$F195*G166</f>
        <v>0</v>
      </c>
      <c r="H195" s="293">
        <f>$F195*H166</f>
        <v>0</v>
      </c>
      <c r="I195" s="293">
        <f>$F195*I166</f>
        <v>0</v>
      </c>
      <c r="J195" s="293">
        <f>$F195*J166</f>
        <v>0</v>
      </c>
      <c r="K195" s="293">
        <f>$F195*K166</f>
        <v>0</v>
      </c>
      <c r="L195" s="293">
        <f>$F195*L166</f>
        <v>0</v>
      </c>
      <c r="M195" s="293">
        <f>$F195*M166</f>
        <v>0</v>
      </c>
      <c r="N195" s="293">
        <f>$F195*N166</f>
        <v>0</v>
      </c>
      <c r="O195" s="293">
        <f>$F195*O166</f>
        <v>0</v>
      </c>
      <c r="P195" s="293">
        <f>$F195*P166</f>
        <v>0</v>
      </c>
      <c r="Q195" s="293">
        <f>$F195*Q166</f>
        <v>0</v>
      </c>
      <c r="R195" s="293">
        <f>$F195*R166</f>
        <v>0</v>
      </c>
      <c r="S195" s="294">
        <f>SUM(G195:R195)</f>
        <v>0</v>
      </c>
    </row>
    <row r="196" spans="1:19" x14ac:dyDescent="0.3">
      <c r="A196" s="95"/>
      <c r="B196" s="399"/>
      <c r="C196" s="295" t="s">
        <v>105</v>
      </c>
      <c r="D196" s="101"/>
      <c r="E196" s="101"/>
      <c r="F196" s="99"/>
      <c r="G196" s="293">
        <f>SUM(G186:G195)</f>
        <v>2382.6684388727431</v>
      </c>
      <c r="H196" s="293">
        <f>SUM(H186:H195)</f>
        <v>2404.3675314454108</v>
      </c>
      <c r="I196" s="293">
        <f>SUM(I186:I195)</f>
        <v>2426.066624018079</v>
      </c>
      <c r="J196" s="293">
        <f>SUM(J186:J195)</f>
        <v>2447.7633773181542</v>
      </c>
      <c r="K196" s="293">
        <f>SUM(K186:K195)</f>
        <v>2556.2565009089012</v>
      </c>
      <c r="L196" s="293">
        <f>SUM(L186:L195)</f>
        <v>2599.6523467816437</v>
      </c>
      <c r="M196" s="293">
        <f>SUM(M186:M195)</f>
        <v>2512.8583157635653</v>
      </c>
      <c r="N196" s="293">
        <f>SUM(N186:N195)</f>
        <v>2447.7633773181542</v>
      </c>
      <c r="O196" s="293">
        <f>SUM(O186:O195)</f>
        <v>2295.8767471272572</v>
      </c>
      <c r="P196" s="293">
        <f>SUM(P186:P195)</f>
        <v>2404.3675314454108</v>
      </c>
      <c r="Q196" s="293">
        <f>SUM(Q186:Q195)</f>
        <v>2512.8583157635653</v>
      </c>
      <c r="R196" s="293">
        <f>SUM(R186:R195)</f>
        <v>2599.6523467816437</v>
      </c>
      <c r="S196" s="294">
        <f>SUM(S186:S195)</f>
        <v>29590.151453544528</v>
      </c>
    </row>
    <row r="197" spans="1:19" x14ac:dyDescent="0.3">
      <c r="A197" s="64"/>
      <c r="B197" s="396"/>
      <c r="C197" s="12"/>
      <c r="D197" s="12"/>
      <c r="E197" s="12"/>
      <c r="F197" s="89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1"/>
    </row>
    <row r="198" spans="1:19" x14ac:dyDescent="0.3">
      <c r="A198" s="64"/>
      <c r="B198" s="398"/>
      <c r="C198" s="27"/>
      <c r="D198" s="220" t="s">
        <v>106</v>
      </c>
      <c r="E198" s="27"/>
      <c r="F198" s="298">
        <v>0.24825700000000001</v>
      </c>
      <c r="G198" s="293">
        <f>$F198*G169</f>
        <v>468.80691853537803</v>
      </c>
      <c r="H198" s="293">
        <f>$F198*H169</f>
        <v>473.07636893730603</v>
      </c>
      <c r="I198" s="293">
        <f>$F198*I169</f>
        <v>477.34581933923408</v>
      </c>
      <c r="J198" s="293">
        <f>$F198*J169</f>
        <v>481.61480947268404</v>
      </c>
      <c r="K198" s="293">
        <f>$F198*K169</f>
        <v>502.961601213846</v>
      </c>
      <c r="L198" s="293">
        <f>$F198*L169</f>
        <v>511.50004174922407</v>
      </c>
      <c r="M198" s="293">
        <f>$F198*M169</f>
        <v>494.42270040999006</v>
      </c>
      <c r="N198" s="293">
        <f>$F198*N169</f>
        <v>481.61480947268404</v>
      </c>
      <c r="O198" s="293">
        <f>$F198*O169</f>
        <v>451.730037464622</v>
      </c>
      <c r="P198" s="293">
        <f>$F198*P169</f>
        <v>473.07636893730603</v>
      </c>
      <c r="Q198" s="293">
        <f>$F198*Q169</f>
        <v>494.42270040999006</v>
      </c>
      <c r="R198" s="293">
        <f>$F198*R169</f>
        <v>511.50004174922407</v>
      </c>
      <c r="S198" s="294">
        <f>SUM(G198:R198)</f>
        <v>5822.0722176914887</v>
      </c>
    </row>
    <row r="199" spans="1:19" x14ac:dyDescent="0.3">
      <c r="A199" s="64"/>
      <c r="B199" s="398"/>
      <c r="C199" s="27"/>
      <c r="D199" s="220" t="s">
        <v>107</v>
      </c>
      <c r="E199" s="27"/>
      <c r="F199" s="298">
        <v>0.32784799999999997</v>
      </c>
      <c r="G199" s="293">
        <f>$F199*G170</f>
        <v>1619.8939849110479</v>
      </c>
      <c r="H199" s="293">
        <f>$F199*H170</f>
        <v>1634.646448561896</v>
      </c>
      <c r="I199" s="293">
        <f>$F199*I170</f>
        <v>1649.3989122127441</v>
      </c>
      <c r="J199" s="293">
        <f>$F199*J170</f>
        <v>1664.1497854729437</v>
      </c>
      <c r="K199" s="293">
        <f>$F199*K170</f>
        <v>1737.9105133365358</v>
      </c>
      <c r="L199" s="293">
        <f>$F199*L170</f>
        <v>1767.4138502475839</v>
      </c>
      <c r="M199" s="293">
        <f>$F199*M170</f>
        <v>1708.4055860348399</v>
      </c>
      <c r="N199" s="293">
        <f>$F199*N170</f>
        <v>1664.1497854729437</v>
      </c>
      <c r="O199" s="293">
        <f>$F199*O170</f>
        <v>1560.8873110889517</v>
      </c>
      <c r="P199" s="293">
        <f>$F199*P170</f>
        <v>1634.646448561896</v>
      </c>
      <c r="Q199" s="293">
        <f>$F199*Q170</f>
        <v>1708.4055860348399</v>
      </c>
      <c r="R199" s="293">
        <f>$F199*R170</f>
        <v>1767.4138502475839</v>
      </c>
      <c r="S199" s="294">
        <f>SUM(G199:R199)</f>
        <v>20117.322062183805</v>
      </c>
    </row>
    <row r="200" spans="1:19" x14ac:dyDescent="0.3">
      <c r="A200" s="64"/>
      <c r="B200" s="398"/>
      <c r="C200" s="27"/>
      <c r="D200" s="220" t="s">
        <v>108</v>
      </c>
      <c r="E200" s="27"/>
      <c r="F200" s="298">
        <v>0.29949500000000001</v>
      </c>
      <c r="G200" s="293">
        <f>$F200*G171</f>
        <v>1218.068370457785</v>
      </c>
      <c r="H200" s="293">
        <f>$F200*H171</f>
        <v>1229.161386128445</v>
      </c>
      <c r="I200" s="293">
        <f>$F200*I171</f>
        <v>1240.2544017991054</v>
      </c>
      <c r="J200" s="293">
        <f>$F200*J171</f>
        <v>1251.3462215862301</v>
      </c>
      <c r="K200" s="293">
        <f>$F200*K171</f>
        <v>1306.810104055995</v>
      </c>
      <c r="L200" s="293">
        <f>$F200*L171</f>
        <v>1328.9949395137799</v>
      </c>
      <c r="M200" s="293">
        <f>$F200*M171</f>
        <v>1284.6240727146751</v>
      </c>
      <c r="N200" s="293">
        <f>$F200*N171</f>
        <v>1251.3462215862301</v>
      </c>
      <c r="O200" s="293">
        <f>$F200*O171</f>
        <v>1173.6986995422151</v>
      </c>
      <c r="P200" s="293">
        <f>$F200*P171</f>
        <v>1229.161386128445</v>
      </c>
      <c r="Q200" s="293">
        <f>$F200*Q171</f>
        <v>1284.6240727146751</v>
      </c>
      <c r="R200" s="293">
        <f>$F200*R171</f>
        <v>1328.9949395137799</v>
      </c>
      <c r="S200" s="294">
        <f>SUM(G200:R200)</f>
        <v>15127.084815741362</v>
      </c>
    </row>
    <row r="201" spans="1:19" x14ac:dyDescent="0.3">
      <c r="A201" s="64"/>
      <c r="B201" s="398"/>
      <c r="C201" s="27"/>
      <c r="D201" s="220" t="s">
        <v>109</v>
      </c>
      <c r="E201" s="27"/>
      <c r="F201" s="298">
        <v>0.29794100000000001</v>
      </c>
      <c r="G201" s="293">
        <f>$F201*G172</f>
        <v>1062.1383622185001</v>
      </c>
      <c r="H201" s="293">
        <f>$F201*H172</f>
        <v>1071.8113147245001</v>
      </c>
      <c r="I201" s="293">
        <f>$F201*I172</f>
        <v>1081.4842672305001</v>
      </c>
      <c r="J201" s="293">
        <f>$F201*J172</f>
        <v>1091.1561769430002</v>
      </c>
      <c r="K201" s="293">
        <f>$F201*K172</f>
        <v>1139.5198966795001</v>
      </c>
      <c r="L201" s="293">
        <f>$F201*L172</f>
        <v>1158.864758898</v>
      </c>
      <c r="M201" s="293">
        <f>$F201*M172</f>
        <v>1120.1739916675001</v>
      </c>
      <c r="N201" s="293">
        <f>$F201*N172</f>
        <v>1091.1561769430002</v>
      </c>
      <c r="O201" s="293">
        <f>$F201*O172</f>
        <v>1023.4486377815</v>
      </c>
      <c r="P201" s="293">
        <f>$F201*P172</f>
        <v>1071.8113147245001</v>
      </c>
      <c r="Q201" s="293">
        <f>$F201*Q172</f>
        <v>1120.1739916675001</v>
      </c>
      <c r="R201" s="293">
        <f>$F201*R172</f>
        <v>1158.864758898</v>
      </c>
      <c r="S201" s="294">
        <f>SUM(G201:R201)</f>
        <v>13190.603648376</v>
      </c>
    </row>
    <row r="202" spans="1:19" x14ac:dyDescent="0.3">
      <c r="A202" s="64"/>
      <c r="B202" s="398"/>
      <c r="C202" s="27"/>
      <c r="D202" s="220" t="s">
        <v>110</v>
      </c>
      <c r="E202" s="27"/>
      <c r="F202" s="298">
        <v>0.24718300000000001</v>
      </c>
      <c r="G202" s="293">
        <f>$F202*G173</f>
        <v>584.10290105256001</v>
      </c>
      <c r="H202" s="293">
        <f>$F202*H173</f>
        <v>589.42235831112009</v>
      </c>
      <c r="I202" s="293">
        <f>$F202*I173</f>
        <v>594.74181556968006</v>
      </c>
      <c r="J202" s="293">
        <f>$F202*J173</f>
        <v>600.06069936367999</v>
      </c>
      <c r="K202" s="293">
        <f>$F202*K173</f>
        <v>626.65741219192</v>
      </c>
      <c r="L202" s="293">
        <f>$F202*L173</f>
        <v>637.29575324448001</v>
      </c>
      <c r="M202" s="293">
        <f>$F202*M173</f>
        <v>616.01849767480007</v>
      </c>
      <c r="N202" s="293">
        <f>$F202*N173</f>
        <v>600.06069936367999</v>
      </c>
      <c r="O202" s="293">
        <f>$F202*O173</f>
        <v>562.82621894744</v>
      </c>
      <c r="P202" s="293">
        <f>$F202*P173</f>
        <v>589.42235831112009</v>
      </c>
      <c r="Q202" s="293">
        <f>$F202*Q173</f>
        <v>616.01849767480007</v>
      </c>
      <c r="R202" s="293">
        <f>$F202*R173</f>
        <v>637.29575324448001</v>
      </c>
      <c r="S202" s="294">
        <f>SUM(G202:R202)</f>
        <v>7253.9229649497611</v>
      </c>
    </row>
    <row r="203" spans="1:19" x14ac:dyDescent="0.3">
      <c r="A203" s="64"/>
      <c r="B203" s="398"/>
      <c r="C203" s="27"/>
      <c r="D203" s="220" t="s">
        <v>111</v>
      </c>
      <c r="E203" s="27"/>
      <c r="F203" s="103"/>
      <c r="G203" s="293">
        <f>$F203*G174</f>
        <v>0</v>
      </c>
      <c r="H203" s="293">
        <f>$F203*H174</f>
        <v>0</v>
      </c>
      <c r="I203" s="293">
        <f>$F203*I174</f>
        <v>0</v>
      </c>
      <c r="J203" s="293">
        <f>$F203*J174</f>
        <v>0</v>
      </c>
      <c r="K203" s="293">
        <f>$F203*K174</f>
        <v>0</v>
      </c>
      <c r="L203" s="293">
        <f>$F203*L174</f>
        <v>0</v>
      </c>
      <c r="M203" s="293">
        <f>$F203*M174</f>
        <v>0</v>
      </c>
      <c r="N203" s="293">
        <f>$F203*N174</f>
        <v>0</v>
      </c>
      <c r="O203" s="293">
        <f>$F203*O174</f>
        <v>0</v>
      </c>
      <c r="P203" s="293">
        <f>$F203*P174</f>
        <v>0</v>
      </c>
      <c r="Q203" s="293">
        <f>$F203*Q174</f>
        <v>0</v>
      </c>
      <c r="R203" s="293">
        <f>$F203*R174</f>
        <v>0</v>
      </c>
      <c r="S203" s="294">
        <f>SUM(G203:R203)</f>
        <v>0</v>
      </c>
    </row>
    <row r="204" spans="1:19" x14ac:dyDescent="0.3">
      <c r="A204" s="64"/>
      <c r="B204" s="398"/>
      <c r="C204" s="27"/>
      <c r="D204" s="220" t="s">
        <v>111</v>
      </c>
      <c r="E204" s="27"/>
      <c r="F204" s="103"/>
      <c r="G204" s="293">
        <f>$F204*G175</f>
        <v>0</v>
      </c>
      <c r="H204" s="293">
        <f>$F204*H175</f>
        <v>0</v>
      </c>
      <c r="I204" s="293">
        <f>$F204*I175</f>
        <v>0</v>
      </c>
      <c r="J204" s="293">
        <f>$F204*J175</f>
        <v>0</v>
      </c>
      <c r="K204" s="293">
        <f>$F204*K175</f>
        <v>0</v>
      </c>
      <c r="L204" s="293">
        <f>$F204*L175</f>
        <v>0</v>
      </c>
      <c r="M204" s="293">
        <f>$F204*M175</f>
        <v>0</v>
      </c>
      <c r="N204" s="293">
        <f>$F204*N175</f>
        <v>0</v>
      </c>
      <c r="O204" s="293">
        <f>$F204*O175</f>
        <v>0</v>
      </c>
      <c r="P204" s="293">
        <f>$F204*P175</f>
        <v>0</v>
      </c>
      <c r="Q204" s="293">
        <f>$F204*Q175</f>
        <v>0</v>
      </c>
      <c r="R204" s="293">
        <f>$F204*R175</f>
        <v>0</v>
      </c>
      <c r="S204" s="294">
        <f>SUM(G204:R204)</f>
        <v>0</v>
      </c>
    </row>
    <row r="205" spans="1:19" x14ac:dyDescent="0.3">
      <c r="A205" s="64"/>
      <c r="B205" s="398"/>
      <c r="C205" s="27"/>
      <c r="D205" s="220" t="s">
        <v>111</v>
      </c>
      <c r="E205" s="27"/>
      <c r="F205" s="103"/>
      <c r="G205" s="293">
        <f>$F205*G176</f>
        <v>0</v>
      </c>
      <c r="H205" s="293">
        <f>$F205*H176</f>
        <v>0</v>
      </c>
      <c r="I205" s="293">
        <f>$F205*I176</f>
        <v>0</v>
      </c>
      <c r="J205" s="293">
        <f>$F205*J176</f>
        <v>0</v>
      </c>
      <c r="K205" s="293">
        <f>$F205*K176</f>
        <v>0</v>
      </c>
      <c r="L205" s="293">
        <f>$F205*L176</f>
        <v>0</v>
      </c>
      <c r="M205" s="293">
        <f>$F205*M176</f>
        <v>0</v>
      </c>
      <c r="N205" s="293">
        <f>$F205*N176</f>
        <v>0</v>
      </c>
      <c r="O205" s="293">
        <f>$F205*O176</f>
        <v>0</v>
      </c>
      <c r="P205" s="293">
        <f>$F205*P176</f>
        <v>0</v>
      </c>
      <c r="Q205" s="293">
        <f>$F205*Q176</f>
        <v>0</v>
      </c>
      <c r="R205" s="293">
        <f>$F205*R176</f>
        <v>0</v>
      </c>
      <c r="S205" s="294">
        <f>SUM(G205:R205)</f>
        <v>0</v>
      </c>
    </row>
    <row r="206" spans="1:19" x14ac:dyDescent="0.3">
      <c r="A206" s="64"/>
      <c r="B206" s="398"/>
      <c r="C206" s="27"/>
      <c r="D206" s="220" t="s">
        <v>111</v>
      </c>
      <c r="E206" s="27"/>
      <c r="F206" s="103"/>
      <c r="G206" s="293">
        <f>$F206*G177</f>
        <v>0</v>
      </c>
      <c r="H206" s="293">
        <f>$F206*H177</f>
        <v>0</v>
      </c>
      <c r="I206" s="293">
        <f>$F206*I177</f>
        <v>0</v>
      </c>
      <c r="J206" s="293">
        <f>$F206*J177</f>
        <v>0</v>
      </c>
      <c r="K206" s="293">
        <f>$F206*K177</f>
        <v>0</v>
      </c>
      <c r="L206" s="293">
        <f>$F206*L177</f>
        <v>0</v>
      </c>
      <c r="M206" s="293">
        <f>$F206*M177</f>
        <v>0</v>
      </c>
      <c r="N206" s="293">
        <f>$F206*N177</f>
        <v>0</v>
      </c>
      <c r="O206" s="293">
        <f>$F206*O177</f>
        <v>0</v>
      </c>
      <c r="P206" s="293">
        <f>$F206*P177</f>
        <v>0</v>
      </c>
      <c r="Q206" s="293">
        <f>$F206*Q177</f>
        <v>0</v>
      </c>
      <c r="R206" s="293">
        <f>$F206*R177</f>
        <v>0</v>
      </c>
      <c r="S206" s="294">
        <f>SUM(G206:R206)</f>
        <v>0</v>
      </c>
    </row>
    <row r="207" spans="1:19" x14ac:dyDescent="0.3">
      <c r="A207" s="64"/>
      <c r="B207" s="398"/>
      <c r="C207" s="27"/>
      <c r="D207" s="220" t="s">
        <v>111</v>
      </c>
      <c r="E207" s="27"/>
      <c r="F207" s="103"/>
      <c r="G207" s="293">
        <f>$F207*G178</f>
        <v>0</v>
      </c>
      <c r="H207" s="293">
        <f>$F207*H178</f>
        <v>0</v>
      </c>
      <c r="I207" s="293">
        <f>$F207*I178</f>
        <v>0</v>
      </c>
      <c r="J207" s="293">
        <f>$F207*J178</f>
        <v>0</v>
      </c>
      <c r="K207" s="293">
        <f>$F207*K178</f>
        <v>0</v>
      </c>
      <c r="L207" s="293">
        <f>$F207*L178</f>
        <v>0</v>
      </c>
      <c r="M207" s="293">
        <f>$F207*M178</f>
        <v>0</v>
      </c>
      <c r="N207" s="293">
        <f>$F207*N178</f>
        <v>0</v>
      </c>
      <c r="O207" s="293">
        <f>$F207*O178</f>
        <v>0</v>
      </c>
      <c r="P207" s="293">
        <f>$F207*P178</f>
        <v>0</v>
      </c>
      <c r="Q207" s="293">
        <f>$F207*Q178</f>
        <v>0</v>
      </c>
      <c r="R207" s="293">
        <f>$F207*R178</f>
        <v>0</v>
      </c>
      <c r="S207" s="294">
        <f>SUM(G207:R207)</f>
        <v>0</v>
      </c>
    </row>
    <row r="208" spans="1:19" x14ac:dyDescent="0.3">
      <c r="A208" s="64"/>
      <c r="B208" s="398"/>
      <c r="C208" s="220" t="s">
        <v>112</v>
      </c>
      <c r="D208" s="27"/>
      <c r="E208" s="27"/>
      <c r="F208" s="104"/>
      <c r="G208" s="293">
        <f>SUM(G198:G207)</f>
        <v>4953.0105371752707</v>
      </c>
      <c r="H208" s="293">
        <f>SUM(H198:H207)</f>
        <v>4998.1178766632665</v>
      </c>
      <c r="I208" s="293">
        <f>SUM(I198:I207)</f>
        <v>5043.2252161512642</v>
      </c>
      <c r="J208" s="293">
        <f>SUM(J198:J207)</f>
        <v>5088.3276928385385</v>
      </c>
      <c r="K208" s="293">
        <f>SUM(K198:K207)</f>
        <v>5313.8595274777972</v>
      </c>
      <c r="L208" s="293">
        <f>SUM(L198:L207)</f>
        <v>5404.0693436530682</v>
      </c>
      <c r="M208" s="293">
        <f>SUM(M198:M207)</f>
        <v>5223.6448485018063</v>
      </c>
      <c r="N208" s="293">
        <f>SUM(N198:N207)</f>
        <v>5088.3276928385385</v>
      </c>
      <c r="O208" s="293">
        <f>SUM(O198:O207)</f>
        <v>4772.5909048247286</v>
      </c>
      <c r="P208" s="293">
        <f>SUM(P198:P207)</f>
        <v>4998.1178766632665</v>
      </c>
      <c r="Q208" s="293">
        <f>SUM(Q198:Q207)</f>
        <v>5223.6448485018063</v>
      </c>
      <c r="R208" s="293">
        <f>SUM(R198:R207)</f>
        <v>5404.0693436530682</v>
      </c>
      <c r="S208" s="294">
        <f>SUM(S198:S207)</f>
        <v>61511.005708942408</v>
      </c>
    </row>
    <row r="209" spans="1:19" x14ac:dyDescent="0.3">
      <c r="A209" s="64"/>
      <c r="B209" s="396"/>
      <c r="C209" s="12"/>
      <c r="D209" s="12"/>
      <c r="E209" s="12"/>
      <c r="F209" s="89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1"/>
    </row>
    <row r="210" spans="1:19" x14ac:dyDescent="0.3">
      <c r="A210" s="64"/>
      <c r="B210" s="398"/>
      <c r="C210" s="220" t="s">
        <v>118</v>
      </c>
      <c r="D210" s="27"/>
      <c r="E210" s="27"/>
      <c r="F210" s="104"/>
      <c r="G210" s="299">
        <f>G196+G208</f>
        <v>7335.6789760480133</v>
      </c>
      <c r="H210" s="299">
        <f>H196+H208</f>
        <v>7402.4854081086778</v>
      </c>
      <c r="I210" s="299">
        <f>I196+I208</f>
        <v>7469.2918401693432</v>
      </c>
      <c r="J210" s="299">
        <f>J196+J208</f>
        <v>7536.0910701566927</v>
      </c>
      <c r="K210" s="299">
        <f>K196+K208</f>
        <v>7870.1160283866984</v>
      </c>
      <c r="L210" s="299">
        <f>L196+L208</f>
        <v>8003.7216904347115</v>
      </c>
      <c r="M210" s="299">
        <f>M196+M208</f>
        <v>7736.5031642653721</v>
      </c>
      <c r="N210" s="299">
        <f>N196+N208</f>
        <v>7536.0910701566927</v>
      </c>
      <c r="O210" s="299">
        <f>O196+O208</f>
        <v>7068.4676519519853</v>
      </c>
      <c r="P210" s="299">
        <f>P196+P208</f>
        <v>7402.4854081086778</v>
      </c>
      <c r="Q210" s="299">
        <f>Q196+Q208</f>
        <v>7736.5031642653721</v>
      </c>
      <c r="R210" s="299">
        <f>R196+R208</f>
        <v>8003.7216904347115</v>
      </c>
      <c r="S210" s="300">
        <f>S196+S208</f>
        <v>91101.157162486939</v>
      </c>
    </row>
  </sheetData>
  <mergeCells count="8">
    <mergeCell ref="C3:F3"/>
    <mergeCell ref="B2:F2"/>
    <mergeCell ref="G185:R185"/>
    <mergeCell ref="G156:R156"/>
    <mergeCell ref="G153:S153"/>
    <mergeCell ref="B149:S149"/>
    <mergeCell ref="G25:P25"/>
    <mergeCell ref="B21:P21"/>
  </mergeCells>
  <dataValidations count="1">
    <dataValidation type="list" showInputMessage="1" showErrorMessage="1" sqref="E25" xr:uid="{BF5D5AF1-C64E-4F36-87F2-E26C12B68B5F}">
      <formula1>Scenarios</formula1>
    </dataValidation>
  </dataValidations>
  <hyperlinks>
    <hyperlink ref="C5" location="Summary!A1" display="Summary" xr:uid="{AA1E7EEB-B74F-451A-9FC1-50CC2DF3DA64}"/>
    <hyperlink ref="C6" location="Valuation!A1" display="Valuation" xr:uid="{26B60B42-0951-44BA-B04D-0406032CC530}"/>
    <hyperlink ref="C7" location="Dashboard!A1" display="Dashboard" xr:uid="{22DA1A96-E6F1-4FC9-B7B1-FDFF75D290B5}"/>
    <hyperlink ref="C8" location="Revenue!A1" display="Revenue" xr:uid="{F27DD7D5-605B-4693-88F4-AE5EB7C6EECB}"/>
    <hyperlink ref="C9" location="Scenario!A1" display="Scenario" xr:uid="{71864F5F-A2DC-4809-A29E-4797EB4DF40A}"/>
    <hyperlink ref="C10" location="'Actual FS'!A1" display="Actual Financial Statement" xr:uid="{CFB38982-F26C-480C-BA87-173CB4E58E68}"/>
    <hyperlink ref="C11" location="'12-Month Projection'!A1" display="12-Month Projection" xr:uid="{45836ADB-3888-4C7B-8057-F76D174BCEDB}"/>
    <hyperlink ref="C12" location="Variance!A1" display="Variance Analysis" xr:uid="{33E4D721-55B1-44D8-BF54-D5F4BF34B7BB}"/>
    <hyperlink ref="C13" location="'Annual Forecast'!A1" display="Annual Forecast" xr:uid="{089C5FED-74A6-40EE-A5DD-F01A8B4954F8}"/>
    <hyperlink ref="C14" location="'Break Even'!A1" display="Breakeven Analysis" xr:uid="{AF4A2FC3-06AE-48C1-883E-A650E60BF50A}"/>
    <hyperlink ref="C15" location="Ratios!A1" display="Ratio Analysis" xr:uid="{851CA620-5095-4601-9AE5-D184122ED6EE}"/>
  </hyperlinks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4A7CE020-F799-4105-8EB2-31140A9233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Center'!G53:P53</xm:f>
              <xm:sqref>F53</xm:sqref>
            </x14:sparkline>
          </x14:sparklines>
        </x14:sparklineGroup>
        <x14:sparklineGroup type="column" displayEmptyCellsAs="gap" negative="1" xr2:uid="{B7066191-6030-45F1-8826-B3A9ACC4943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Center'!G52:P52</xm:f>
              <xm:sqref>F52</xm:sqref>
            </x14:sparkline>
          </x14:sparklines>
        </x14:sparklineGroup>
        <x14:sparklineGroup type="column" displayEmptyCellsAs="gap" negative="1" xr2:uid="{8E99BA1D-85CD-4B23-B491-81F91C91E4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Center'!G51:P51</xm:f>
              <xm:sqref>F51</xm:sqref>
            </x14:sparkline>
          </x14:sparklines>
        </x14:sparklineGroup>
        <x14:sparklineGroup type="column" displayEmptyCellsAs="gap" negative="1" xr2:uid="{A55006DA-A9EF-4C83-8DB7-200AF412AA2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Center'!G50:P50</xm:f>
              <xm:sqref>F50</xm:sqref>
            </x14:sparkline>
          </x14:sparklines>
        </x14:sparklineGroup>
        <x14:sparklineGroup type="column" displayEmptyCellsAs="gap" negative="1" xr2:uid="{06754A9F-F372-47A0-89DD-B83BDE5490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Center'!G49:P49</xm:f>
              <xm:sqref>F49</xm:sqref>
            </x14:sparkline>
          </x14:sparklines>
        </x14:sparklineGroup>
        <x14:sparklineGroup type="column" displayEmptyCellsAs="gap" negative="1" xr2:uid="{E1D62418-6DD9-4174-8758-4026D2CD520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Center'!G46:P46</xm:f>
              <xm:sqref>F46</xm:sqref>
            </x14:sparkline>
          </x14:sparklines>
        </x14:sparklineGroup>
        <x14:sparklineGroup type="column" displayEmptyCellsAs="gap" negative="1" xr2:uid="{B49040A3-60FE-49D4-90AD-A8E37BDA9F5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Center'!G45:P45</xm:f>
              <xm:sqref>F45</xm:sqref>
            </x14:sparkline>
          </x14:sparklines>
        </x14:sparklineGroup>
        <x14:sparklineGroup type="column" displayEmptyCellsAs="gap" negative="1" xr2:uid="{BA8E7122-22A1-4498-BE46-C03963D1D04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Center'!G44:P44</xm:f>
              <xm:sqref>F44</xm:sqref>
            </x14:sparkline>
          </x14:sparklines>
        </x14:sparklineGroup>
        <x14:sparklineGroup type="column" displayEmptyCellsAs="gap" negative="1" xr2:uid="{DA8B876F-1E4D-4DBA-9F5E-2912E32B1A3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Center'!G43:P43</xm:f>
              <xm:sqref>F43</xm:sqref>
            </x14:sparkline>
          </x14:sparklines>
        </x14:sparklineGroup>
        <x14:sparklineGroup type="column" displayEmptyCellsAs="gap" negative="1" xr2:uid="{B9316C7C-8550-47B4-84BA-3269D60312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Center'!G42:P42</xm:f>
              <xm:sqref>F42</xm:sqref>
            </x14:sparkline>
          </x14:sparklines>
        </x14:sparklineGroup>
        <x14:sparklineGroup type="column" displayEmptyCellsAs="gap" negative="1" xr2:uid="{7320904A-CCEB-45E5-AC45-D7B257ABF0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Center'!G41:P41</xm:f>
              <xm:sqref>F41</xm:sqref>
            </x14:sparkline>
          </x14:sparklines>
        </x14:sparklineGroup>
        <x14:sparklineGroup type="column" displayEmptyCellsAs="gap" negative="1" xr2:uid="{0D143C0E-E4EF-4078-AE56-748A096313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Center'!G38:P38</xm:f>
              <xm:sqref>F38</xm:sqref>
            </x14:sparkline>
          </x14:sparklines>
        </x14:sparklineGroup>
        <x14:sparklineGroup type="column" displayEmptyCellsAs="gap" negative="1" xr2:uid="{882D9CFE-3244-4AF2-9C4F-7AC4509B594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Center'!G37:P37</xm:f>
              <xm:sqref>F37</xm:sqref>
            </x14:sparkline>
          </x14:sparklines>
        </x14:sparklineGroup>
        <x14:sparklineGroup type="column" displayEmptyCellsAs="gap" negative="1" xr2:uid="{96322D72-8739-4EEF-A439-C96629A7B38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Center'!G36:P36</xm:f>
              <xm:sqref>F36</xm:sqref>
            </x14:sparkline>
          </x14:sparklines>
        </x14:sparklineGroup>
        <x14:sparklineGroup type="column" displayEmptyCellsAs="gap" negative="1" xr2:uid="{92EAED78-E39E-4B6E-A7BA-21CE915684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Center'!G35:P35</xm:f>
              <xm:sqref>F35</xm:sqref>
            </x14:sparkline>
          </x14:sparklines>
        </x14:sparklineGroup>
        <x14:sparklineGroup type="column" displayEmptyCellsAs="gap" negative="1" xr2:uid="{73789E26-7224-4725-B8E7-7FC35C5C7F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Center'!G34:P34</xm:f>
              <xm:sqref>F34</xm:sqref>
            </x14:sparkline>
          </x14:sparklines>
        </x14:sparklineGroup>
        <x14:sparklineGroup type="column" displayEmptyCellsAs="gap" negative="1" xr2:uid="{AD293541-44CF-4876-9735-25C2BC03A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Center'!G33:P33</xm:f>
              <xm:sqref>F33</xm:sqref>
            </x14:sparkline>
          </x14:sparklines>
        </x14:sparklineGroup>
        <x14:sparklineGroup type="column" displayEmptyCellsAs="gap" negative="1" xr2:uid="{B8F7F7DF-BFBB-4C75-81DE-E3CB34EB751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Center'!G32:P32</xm:f>
              <xm:sqref>F32</xm:sqref>
            </x14:sparkline>
          </x14:sparklines>
        </x14:sparklineGroup>
        <x14:sparklineGroup type="column" displayEmptyCellsAs="gap" negative="1" xr2:uid="{84D8AADA-F7F2-4082-8F25-DA42C7BE65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Center'!G31:P31</xm:f>
              <xm:sqref>F31</xm:sqref>
            </x14:sparkline>
          </x14:sparklines>
        </x14:sparklineGroup>
        <x14:sparklineGroup type="column" displayEmptyCellsAs="gap" negative="1" xr2:uid="{55DB9F47-CF63-4A61-A33E-6F8B2E5D8F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Center'!G30:P30</xm:f>
              <xm:sqref>F30</xm:sqref>
            </x14:sparkline>
          </x14:sparklines>
        </x14:sparklineGroup>
        <x14:sparklineGroup type="column" displayEmptyCellsAs="gap" negative="1" xr2:uid="{203370D4-EB83-4BE2-99DE-59C078E893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Center'!G29:P29</xm:f>
              <xm:sqref>F29</xm:sqref>
            </x14:sparkline>
          </x14:sparklines>
        </x14:sparklineGroup>
        <x14:sparklineGroup type="column" displayEmptyCellsAs="gap" negative="1" xr2:uid="{33A70B04-06AD-48FA-A4FF-1DB7205E824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Center'!G28:P28</xm:f>
              <xm:sqref>F28</xm:sqref>
            </x14:sparkline>
          </x14:sparklines>
        </x14:sparklineGroup>
        <x14:sparklineGroup type="column" displayEmptyCellsAs="gap" negative="1" xr2:uid="{6EE0D946-1A1D-4E00-BA23-50C761D2D9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'Control Center'!G54:P54</xm:f>
              <xm:sqref>F54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B0A5-8A31-4B2D-90F1-BDFE82A2FD50}">
  <dimension ref="A1:U302"/>
  <sheetViews>
    <sheetView workbookViewId="0"/>
  </sheetViews>
  <sheetFormatPr defaultRowHeight="14.4" x14ac:dyDescent="0.3"/>
  <cols>
    <col min="1" max="1" width="21.44140625" customWidth="1"/>
    <col min="2" max="2" width="2.44140625" customWidth="1"/>
    <col min="3" max="3" width="13.77734375" customWidth="1"/>
    <col min="4" max="4" width="4.109375" customWidth="1"/>
    <col min="5" max="5" width="33.77734375" customWidth="1"/>
    <col min="6" max="6" width="15.88671875" customWidth="1"/>
    <col min="7" max="7" width="13.44140625" customWidth="1"/>
    <col min="8" max="20" width="13.77734375" customWidth="1"/>
    <col min="21" max="21" width="11.88671875" customWidth="1"/>
  </cols>
  <sheetData>
    <row r="1" spans="1:21" x14ac:dyDescent="0.3">
      <c r="A1" s="21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8" x14ac:dyDescent="0.3">
      <c r="A2" s="199" t="s">
        <v>38</v>
      </c>
      <c r="B2" s="449" t="str">
        <f>'Control Center'!F6</f>
        <v/>
      </c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  <c r="U2" s="41"/>
    </row>
    <row r="3" spans="1:21" x14ac:dyDescent="0.3">
      <c r="A3" s="64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</row>
    <row r="4" spans="1:21" x14ac:dyDescent="0.3">
      <c r="A4" s="64"/>
      <c r="B4" s="55"/>
      <c r="C4" s="55" t="s">
        <v>31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396"/>
    </row>
    <row r="5" spans="1:21" x14ac:dyDescent="0.3">
      <c r="A5" s="64"/>
      <c r="B5" s="396"/>
      <c r="C5" s="262" t="str">
        <f>'Formula Audit'!A3</f>
        <v>Figures in USD</v>
      </c>
      <c r="D5" s="21"/>
      <c r="E5" s="21"/>
      <c r="F5" s="12"/>
      <c r="G5" s="396"/>
      <c r="H5" s="396"/>
      <c r="I5" s="396"/>
      <c r="J5" s="396"/>
      <c r="K5" s="396"/>
      <c r="L5" s="396"/>
      <c r="M5" s="396"/>
      <c r="N5" s="396"/>
      <c r="O5" s="396"/>
      <c r="P5" s="396"/>
      <c r="Q5" s="396"/>
      <c r="R5" s="396"/>
      <c r="S5" s="396"/>
      <c r="T5" s="396"/>
      <c r="U5" s="396"/>
    </row>
    <row r="6" spans="1:21" x14ac:dyDescent="0.3">
      <c r="A6" s="67"/>
      <c r="B6" s="107"/>
      <c r="C6" s="107"/>
      <c r="D6" s="107"/>
      <c r="E6" s="161"/>
      <c r="F6" s="107"/>
      <c r="G6" s="107"/>
      <c r="H6" s="445">
        <f>'Control Center'!F8</f>
        <v>2025</v>
      </c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5"/>
      <c r="T6" s="107"/>
      <c r="U6" s="397"/>
    </row>
    <row r="7" spans="1:21" x14ac:dyDescent="0.3">
      <c r="A7" s="64"/>
      <c r="B7" s="396"/>
      <c r="C7" s="263" t="s">
        <v>54</v>
      </c>
      <c r="D7" s="8"/>
      <c r="E7" s="8"/>
      <c r="F7" s="8"/>
      <c r="G7" s="396"/>
      <c r="H7" s="361" t="str">
        <f>'Formula Audit'!C41</f>
        <v>January</v>
      </c>
      <c r="I7" s="361" t="str">
        <f>'Formula Audit'!D41</f>
        <v>February</v>
      </c>
      <c r="J7" s="361" t="str">
        <f>'Formula Audit'!E41</f>
        <v>March</v>
      </c>
      <c r="K7" s="361" t="str">
        <f>'Formula Audit'!F41</f>
        <v>April</v>
      </c>
      <c r="L7" s="361" t="str">
        <f>'Formula Audit'!G41</f>
        <v>May</v>
      </c>
      <c r="M7" s="361" t="str">
        <f>'Formula Audit'!H41</f>
        <v>June</v>
      </c>
      <c r="N7" s="361" t="str">
        <f>'Formula Audit'!I41</f>
        <v>July</v>
      </c>
      <c r="O7" s="361" t="str">
        <f>'Formula Audit'!J41</f>
        <v>August</v>
      </c>
      <c r="P7" s="361" t="str">
        <f>'Formula Audit'!K41</f>
        <v>September</v>
      </c>
      <c r="Q7" s="361" t="str">
        <f>'Formula Audit'!L41</f>
        <v>October</v>
      </c>
      <c r="R7" s="361" t="str">
        <f>'Formula Audit'!M41</f>
        <v>November</v>
      </c>
      <c r="S7" s="361" t="str">
        <f>'Formula Audit'!N41</f>
        <v>December</v>
      </c>
      <c r="T7" s="281" t="s">
        <v>2</v>
      </c>
      <c r="U7" s="396"/>
    </row>
    <row r="8" spans="1:21" x14ac:dyDescent="0.3">
      <c r="A8" s="64"/>
      <c r="B8" s="398"/>
      <c r="C8" s="27"/>
      <c r="D8" s="220" t="s">
        <v>119</v>
      </c>
      <c r="E8" s="27"/>
      <c r="F8" s="27"/>
      <c r="G8" s="72"/>
      <c r="H8" s="317">
        <v>31629</v>
      </c>
      <c r="I8" s="317">
        <v>31629</v>
      </c>
      <c r="J8" s="317">
        <v>31629</v>
      </c>
      <c r="K8" s="317">
        <v>31629</v>
      </c>
      <c r="L8" s="317">
        <v>31629</v>
      </c>
      <c r="M8" s="317">
        <v>31629</v>
      </c>
      <c r="N8" s="317">
        <v>31629</v>
      </c>
      <c r="O8" s="317">
        <v>31629</v>
      </c>
      <c r="P8" s="317">
        <v>31629</v>
      </c>
      <c r="Q8" s="317">
        <v>31629</v>
      </c>
      <c r="R8" s="317">
        <v>31629</v>
      </c>
      <c r="S8" s="317">
        <v>31629</v>
      </c>
      <c r="T8" s="300">
        <f>SUM(H8:S8)</f>
        <v>379548</v>
      </c>
      <c r="U8" s="396"/>
    </row>
    <row r="9" spans="1:21" x14ac:dyDescent="0.3">
      <c r="A9" s="64"/>
      <c r="B9" s="398"/>
      <c r="C9" s="27"/>
      <c r="D9" s="220" t="s">
        <v>120</v>
      </c>
      <c r="E9" s="27"/>
      <c r="F9" s="27"/>
      <c r="G9" s="72"/>
      <c r="H9" s="317">
        <v>8537</v>
      </c>
      <c r="I9" s="317">
        <v>8537</v>
      </c>
      <c r="J9" s="317">
        <v>8537</v>
      </c>
      <c r="K9" s="317">
        <v>8537</v>
      </c>
      <c r="L9" s="317">
        <v>8537</v>
      </c>
      <c r="M9" s="317">
        <v>8537</v>
      </c>
      <c r="N9" s="317">
        <v>8537</v>
      </c>
      <c r="O9" s="317">
        <v>8537</v>
      </c>
      <c r="P9" s="317">
        <v>8537</v>
      </c>
      <c r="Q9" s="317">
        <v>8537</v>
      </c>
      <c r="R9" s="317">
        <v>8537</v>
      </c>
      <c r="S9" s="317">
        <v>8537</v>
      </c>
      <c r="T9" s="300">
        <f>SUM(H9:S9)</f>
        <v>102444</v>
      </c>
      <c r="U9" s="396"/>
    </row>
    <row r="10" spans="1:21" x14ac:dyDescent="0.3">
      <c r="A10" s="64"/>
      <c r="B10" s="398"/>
      <c r="C10" s="220" t="s">
        <v>98</v>
      </c>
      <c r="D10" s="27"/>
      <c r="E10" s="27"/>
      <c r="F10" s="27"/>
      <c r="G10" s="72"/>
      <c r="H10" s="318">
        <f>SUM(H8:H9)</f>
        <v>40166</v>
      </c>
      <c r="I10" s="318">
        <f>SUM(I8:I9)</f>
        <v>40166</v>
      </c>
      <c r="J10" s="318">
        <f>SUM(J8:J9)</f>
        <v>40166</v>
      </c>
      <c r="K10" s="318">
        <f>SUM(K8:K9)</f>
        <v>40166</v>
      </c>
      <c r="L10" s="318">
        <f>SUM(L8:L9)</f>
        <v>40166</v>
      </c>
      <c r="M10" s="318">
        <f>SUM(M8:M9)</f>
        <v>40166</v>
      </c>
      <c r="N10" s="318">
        <f>SUM(N8:N9)</f>
        <v>40166</v>
      </c>
      <c r="O10" s="318">
        <f>SUM(O8:O9)</f>
        <v>40166</v>
      </c>
      <c r="P10" s="318">
        <f>SUM(P8:P9)</f>
        <v>40166</v>
      </c>
      <c r="Q10" s="318">
        <f>SUM(Q8:Q9)</f>
        <v>40166</v>
      </c>
      <c r="R10" s="318">
        <f>SUM(R8:R9)</f>
        <v>40166</v>
      </c>
      <c r="S10" s="318">
        <f>SUM(S8:S9)</f>
        <v>40166</v>
      </c>
      <c r="T10" s="300">
        <f>SUM(T8:T9)</f>
        <v>481992</v>
      </c>
      <c r="U10" s="396"/>
    </row>
    <row r="11" spans="1:21" x14ac:dyDescent="0.3">
      <c r="A11" s="64"/>
      <c r="B11" s="396"/>
      <c r="C11" s="12"/>
      <c r="D11" s="12"/>
      <c r="E11" s="12"/>
      <c r="F11" s="12"/>
      <c r="G11" s="115"/>
      <c r="H11" s="89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1"/>
      <c r="U11" s="396"/>
    </row>
    <row r="12" spans="1:21" x14ac:dyDescent="0.3">
      <c r="A12" s="64"/>
      <c r="B12" s="398"/>
      <c r="C12" s="27"/>
      <c r="D12" s="220" t="s">
        <v>57</v>
      </c>
      <c r="E12" s="27"/>
      <c r="F12" s="27"/>
      <c r="G12" s="72"/>
      <c r="H12" s="317">
        <v>7381</v>
      </c>
      <c r="I12" s="317">
        <v>7381</v>
      </c>
      <c r="J12" s="317">
        <v>7381</v>
      </c>
      <c r="K12" s="317">
        <v>7381</v>
      </c>
      <c r="L12" s="317">
        <v>7381</v>
      </c>
      <c r="M12" s="317">
        <v>7381</v>
      </c>
      <c r="N12" s="317">
        <v>7381</v>
      </c>
      <c r="O12" s="317">
        <v>7381</v>
      </c>
      <c r="P12" s="317">
        <v>7381</v>
      </c>
      <c r="Q12" s="317">
        <v>7381</v>
      </c>
      <c r="R12" s="317">
        <v>7381</v>
      </c>
      <c r="S12" s="317">
        <v>7381</v>
      </c>
      <c r="T12" s="300">
        <f>SUM(H12:S12)</f>
        <v>88572</v>
      </c>
      <c r="U12" s="396"/>
    </row>
    <row r="13" spans="1:21" x14ac:dyDescent="0.3">
      <c r="A13" s="64"/>
      <c r="B13" s="398"/>
      <c r="C13" s="27"/>
      <c r="D13" s="220" t="s">
        <v>59</v>
      </c>
      <c r="E13" s="27"/>
      <c r="F13" s="27"/>
      <c r="G13" s="72"/>
      <c r="H13" s="317">
        <v>4129</v>
      </c>
      <c r="I13" s="317">
        <v>4129</v>
      </c>
      <c r="J13" s="317">
        <v>4129</v>
      </c>
      <c r="K13" s="317">
        <v>4129</v>
      </c>
      <c r="L13" s="317">
        <v>4129</v>
      </c>
      <c r="M13" s="317">
        <v>4129</v>
      </c>
      <c r="N13" s="317">
        <v>4129</v>
      </c>
      <c r="O13" s="317">
        <v>4129</v>
      </c>
      <c r="P13" s="317">
        <v>4129</v>
      </c>
      <c r="Q13" s="317">
        <v>4129</v>
      </c>
      <c r="R13" s="317">
        <v>4129</v>
      </c>
      <c r="S13" s="317">
        <v>4129</v>
      </c>
      <c r="T13" s="300">
        <f>SUM(H13:S13)</f>
        <v>49548</v>
      </c>
      <c r="U13" s="396"/>
    </row>
    <row r="14" spans="1:21" x14ac:dyDescent="0.3">
      <c r="A14" s="64"/>
      <c r="B14" s="398"/>
      <c r="C14" s="27"/>
      <c r="D14" s="220" t="s">
        <v>61</v>
      </c>
      <c r="E14" s="27"/>
      <c r="F14" s="27"/>
      <c r="G14" s="72"/>
      <c r="H14" s="317">
        <v>9051</v>
      </c>
      <c r="I14" s="317">
        <v>9051</v>
      </c>
      <c r="J14" s="317">
        <v>9051</v>
      </c>
      <c r="K14" s="317">
        <v>9051</v>
      </c>
      <c r="L14" s="317">
        <v>9051</v>
      </c>
      <c r="M14" s="317">
        <v>9051</v>
      </c>
      <c r="N14" s="317">
        <v>9051</v>
      </c>
      <c r="O14" s="317">
        <v>9051</v>
      </c>
      <c r="P14" s="317">
        <v>9051</v>
      </c>
      <c r="Q14" s="317">
        <v>9051</v>
      </c>
      <c r="R14" s="317">
        <v>9051</v>
      </c>
      <c r="S14" s="317">
        <v>9051</v>
      </c>
      <c r="T14" s="300">
        <f>SUM(H14:S14)</f>
        <v>108612</v>
      </c>
      <c r="U14" s="396"/>
    </row>
    <row r="15" spans="1:21" x14ac:dyDescent="0.3">
      <c r="A15" s="64"/>
      <c r="B15" s="398"/>
      <c r="C15" s="27"/>
      <c r="D15" s="220" t="s">
        <v>63</v>
      </c>
      <c r="E15" s="27"/>
      <c r="F15" s="27"/>
      <c r="G15" s="72"/>
      <c r="H15" s="317">
        <v>6076</v>
      </c>
      <c r="I15" s="317">
        <v>6076</v>
      </c>
      <c r="J15" s="317">
        <v>6076</v>
      </c>
      <c r="K15" s="317">
        <v>6076</v>
      </c>
      <c r="L15" s="317">
        <v>6076</v>
      </c>
      <c r="M15" s="317">
        <v>6076</v>
      </c>
      <c r="N15" s="317">
        <v>6076</v>
      </c>
      <c r="O15" s="317">
        <v>6076</v>
      </c>
      <c r="P15" s="317">
        <v>6076</v>
      </c>
      <c r="Q15" s="317">
        <v>6076</v>
      </c>
      <c r="R15" s="317">
        <v>6076</v>
      </c>
      <c r="S15" s="317">
        <v>6076</v>
      </c>
      <c r="T15" s="300">
        <f>SUM(H15:S15)</f>
        <v>72912</v>
      </c>
      <c r="U15" s="396"/>
    </row>
    <row r="16" spans="1:21" x14ac:dyDescent="0.3">
      <c r="A16" s="64"/>
      <c r="B16" s="398"/>
      <c r="C16" s="220" t="s">
        <v>121</v>
      </c>
      <c r="D16" s="27"/>
      <c r="E16" s="27"/>
      <c r="F16" s="27"/>
      <c r="G16" s="72"/>
      <c r="H16" s="318">
        <f>SUM(H12:H15)</f>
        <v>26637</v>
      </c>
      <c r="I16" s="318">
        <f>SUM(I12:I15)</f>
        <v>26637</v>
      </c>
      <c r="J16" s="318">
        <f>SUM(J12:J15)</f>
        <v>26637</v>
      </c>
      <c r="K16" s="318">
        <f>SUM(K12:K15)</f>
        <v>26637</v>
      </c>
      <c r="L16" s="318">
        <f>SUM(L12:L15)</f>
        <v>26637</v>
      </c>
      <c r="M16" s="318">
        <f>SUM(M12:M15)</f>
        <v>26637</v>
      </c>
      <c r="N16" s="318">
        <f>SUM(N12:N15)</f>
        <v>26637</v>
      </c>
      <c r="O16" s="318">
        <f>SUM(O12:O15)</f>
        <v>26637</v>
      </c>
      <c r="P16" s="318">
        <f>SUM(P12:P15)</f>
        <v>26637</v>
      </c>
      <c r="Q16" s="318">
        <f>SUM(Q12:Q15)</f>
        <v>26637</v>
      </c>
      <c r="R16" s="318">
        <f>SUM(R12:R15)</f>
        <v>26637</v>
      </c>
      <c r="S16" s="318">
        <f>SUM(S12:S15)</f>
        <v>26637</v>
      </c>
      <c r="T16" s="300">
        <f>SUM(T12:T15)</f>
        <v>319644</v>
      </c>
      <c r="U16" s="396"/>
    </row>
    <row r="17" spans="1:21" x14ac:dyDescent="0.3">
      <c r="A17" s="64"/>
      <c r="B17" s="396"/>
      <c r="C17" s="12"/>
      <c r="D17" s="12"/>
      <c r="E17" s="12"/>
      <c r="F17" s="12"/>
      <c r="G17" s="115"/>
      <c r="H17" s="89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1"/>
      <c r="U17" s="396"/>
    </row>
    <row r="18" spans="1:21" x14ac:dyDescent="0.3">
      <c r="A18" s="64"/>
      <c r="B18" s="398"/>
      <c r="C18" s="220" t="s">
        <v>122</v>
      </c>
      <c r="D18" s="27"/>
      <c r="E18" s="27"/>
      <c r="F18" s="27"/>
      <c r="G18" s="72"/>
      <c r="H18" s="318">
        <f>H10-H16</f>
        <v>13529</v>
      </c>
      <c r="I18" s="299">
        <f>I10-I16</f>
        <v>13529</v>
      </c>
      <c r="J18" s="299">
        <f>J10-J16</f>
        <v>13529</v>
      </c>
      <c r="K18" s="299">
        <f>K10-K16</f>
        <v>13529</v>
      </c>
      <c r="L18" s="299">
        <f>L10-L16</f>
        <v>13529</v>
      </c>
      <c r="M18" s="299">
        <f>M10-M16</f>
        <v>13529</v>
      </c>
      <c r="N18" s="299">
        <f>N10-N16</f>
        <v>13529</v>
      </c>
      <c r="O18" s="299">
        <f>O10-O16</f>
        <v>13529</v>
      </c>
      <c r="P18" s="299">
        <f>P10-P16</f>
        <v>13529</v>
      </c>
      <c r="Q18" s="299">
        <f>Q10-Q16</f>
        <v>13529</v>
      </c>
      <c r="R18" s="299">
        <f>R10-R16</f>
        <v>13529</v>
      </c>
      <c r="S18" s="299">
        <f>S10-S16</f>
        <v>13529</v>
      </c>
      <c r="T18" s="300">
        <f>T10-T16</f>
        <v>162348</v>
      </c>
      <c r="U18" s="396"/>
    </row>
    <row r="19" spans="1:21" x14ac:dyDescent="0.3">
      <c r="A19" s="156"/>
      <c r="B19" s="400"/>
      <c r="C19" s="319" t="s">
        <v>123</v>
      </c>
      <c r="D19" s="157"/>
      <c r="E19" s="157"/>
      <c r="F19" s="157"/>
      <c r="G19" s="158"/>
      <c r="H19" s="320">
        <f>IFERROR(H18/H10,0)</f>
        <v>0.33682716725588807</v>
      </c>
      <c r="I19" s="321">
        <f>IFERROR(I18/I10,0)</f>
        <v>0.33682716725588807</v>
      </c>
      <c r="J19" s="321">
        <f>IFERROR(J18/J10,0)</f>
        <v>0.33682716725588807</v>
      </c>
      <c r="K19" s="321">
        <f>IFERROR(K18/K10,0)</f>
        <v>0.33682716725588807</v>
      </c>
      <c r="L19" s="321">
        <f>IFERROR(L18/L10,0)</f>
        <v>0.33682716725588807</v>
      </c>
      <c r="M19" s="321">
        <f>IFERROR(M18/M10,0)</f>
        <v>0.33682716725588807</v>
      </c>
      <c r="N19" s="321">
        <f>IFERROR(N18/N10,0)</f>
        <v>0.33682716725588807</v>
      </c>
      <c r="O19" s="321">
        <f>IFERROR(O18/O10,0)</f>
        <v>0.33682716725588807</v>
      </c>
      <c r="P19" s="321">
        <f>IFERROR(P18/P10,0)</f>
        <v>0.33682716725588807</v>
      </c>
      <c r="Q19" s="321">
        <f>IFERROR(Q18/Q10,0)</f>
        <v>0.33682716725588807</v>
      </c>
      <c r="R19" s="321">
        <f>IFERROR(R18/R10,0)</f>
        <v>0.33682716725588807</v>
      </c>
      <c r="S19" s="321">
        <f>IFERROR(S18/S10,0)</f>
        <v>0.33682716725588807</v>
      </c>
      <c r="T19" s="322">
        <f>IFERROR(T18/T10,0)</f>
        <v>0.33682716725588807</v>
      </c>
      <c r="U19" s="400"/>
    </row>
    <row r="20" spans="1:21" x14ac:dyDescent="0.3">
      <c r="A20" s="64"/>
      <c r="B20" s="396"/>
      <c r="C20" s="12"/>
      <c r="D20" s="12"/>
      <c r="E20" s="12"/>
      <c r="F20" s="12"/>
      <c r="G20" s="115"/>
      <c r="H20" s="89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1"/>
      <c r="U20" s="396"/>
    </row>
    <row r="21" spans="1:21" x14ac:dyDescent="0.3">
      <c r="A21" s="64"/>
      <c r="B21" s="398"/>
      <c r="C21" s="27"/>
      <c r="D21" s="220" t="s">
        <v>64</v>
      </c>
      <c r="E21" s="27"/>
      <c r="F21" s="27"/>
      <c r="G21" s="72"/>
      <c r="H21" s="317">
        <v>3648</v>
      </c>
      <c r="I21" s="317">
        <v>3648</v>
      </c>
      <c r="J21" s="317">
        <v>3648</v>
      </c>
      <c r="K21" s="317">
        <v>3648</v>
      </c>
      <c r="L21" s="317">
        <v>3648</v>
      </c>
      <c r="M21" s="317">
        <v>3648</v>
      </c>
      <c r="N21" s="317">
        <v>3648</v>
      </c>
      <c r="O21" s="317">
        <v>3648</v>
      </c>
      <c r="P21" s="317">
        <v>3648</v>
      </c>
      <c r="Q21" s="317">
        <v>3648</v>
      </c>
      <c r="R21" s="317">
        <v>3648</v>
      </c>
      <c r="S21" s="317">
        <v>3648</v>
      </c>
      <c r="T21" s="300">
        <f>SUM(H21:S21)</f>
        <v>43776</v>
      </c>
      <c r="U21" s="396"/>
    </row>
    <row r="22" spans="1:21" x14ac:dyDescent="0.3">
      <c r="A22" s="64"/>
      <c r="B22" s="398"/>
      <c r="C22" s="27"/>
      <c r="D22" s="220" t="s">
        <v>65</v>
      </c>
      <c r="E22" s="27"/>
      <c r="F22" s="27"/>
      <c r="G22" s="72"/>
      <c r="H22" s="317">
        <v>2019</v>
      </c>
      <c r="I22" s="317">
        <v>2019</v>
      </c>
      <c r="J22" s="317">
        <v>2019</v>
      </c>
      <c r="K22" s="317">
        <v>2019</v>
      </c>
      <c r="L22" s="317">
        <v>2019</v>
      </c>
      <c r="M22" s="317">
        <v>2019</v>
      </c>
      <c r="N22" s="317">
        <v>2019</v>
      </c>
      <c r="O22" s="317">
        <v>2019</v>
      </c>
      <c r="P22" s="317">
        <v>2019</v>
      </c>
      <c r="Q22" s="317">
        <v>2019</v>
      </c>
      <c r="R22" s="317">
        <v>2019</v>
      </c>
      <c r="S22" s="317">
        <v>2019</v>
      </c>
      <c r="T22" s="300">
        <f>SUM(H22:S22)</f>
        <v>24228</v>
      </c>
      <c r="U22" s="396"/>
    </row>
    <row r="23" spans="1:21" x14ac:dyDescent="0.3">
      <c r="A23" s="64"/>
      <c r="B23" s="398"/>
      <c r="C23" s="27"/>
      <c r="D23" s="220" t="s">
        <v>66</v>
      </c>
      <c r="E23" s="27"/>
      <c r="F23" s="27"/>
      <c r="G23" s="72"/>
      <c r="H23" s="317">
        <v>3647</v>
      </c>
      <c r="I23" s="317">
        <v>3647</v>
      </c>
      <c r="J23" s="317">
        <v>3647</v>
      </c>
      <c r="K23" s="317">
        <v>3647</v>
      </c>
      <c r="L23" s="317">
        <v>3647</v>
      </c>
      <c r="M23" s="317">
        <v>3647</v>
      </c>
      <c r="N23" s="317">
        <v>3647</v>
      </c>
      <c r="O23" s="317">
        <v>3647</v>
      </c>
      <c r="P23" s="317">
        <v>3647</v>
      </c>
      <c r="Q23" s="317">
        <v>3647</v>
      </c>
      <c r="R23" s="317">
        <v>3647</v>
      </c>
      <c r="S23" s="317">
        <v>3647</v>
      </c>
      <c r="T23" s="300">
        <f>SUM(H23:S23)</f>
        <v>43764</v>
      </c>
      <c r="U23" s="396"/>
    </row>
    <row r="24" spans="1:21" x14ac:dyDescent="0.3">
      <c r="A24" s="64"/>
      <c r="B24" s="398"/>
      <c r="C24" s="27"/>
      <c r="D24" s="220" t="s">
        <v>67</v>
      </c>
      <c r="E24" s="27"/>
      <c r="F24" s="27"/>
      <c r="G24" s="72"/>
      <c r="H24" s="317">
        <v>440</v>
      </c>
      <c r="I24" s="317">
        <v>440</v>
      </c>
      <c r="J24" s="317">
        <v>440</v>
      </c>
      <c r="K24" s="317">
        <v>440</v>
      </c>
      <c r="L24" s="317">
        <v>440</v>
      </c>
      <c r="M24" s="317">
        <v>440</v>
      </c>
      <c r="N24" s="317">
        <v>440</v>
      </c>
      <c r="O24" s="317">
        <v>440</v>
      </c>
      <c r="P24" s="317">
        <v>440</v>
      </c>
      <c r="Q24" s="317">
        <v>440</v>
      </c>
      <c r="R24" s="317">
        <v>440</v>
      </c>
      <c r="S24" s="317">
        <v>440</v>
      </c>
      <c r="T24" s="300">
        <f>SUM(H24:S24)</f>
        <v>5280</v>
      </c>
      <c r="U24" s="396"/>
    </row>
    <row r="25" spans="1:21" x14ac:dyDescent="0.3">
      <c r="A25" s="64"/>
      <c r="B25" s="398"/>
      <c r="C25" s="27"/>
      <c r="D25" s="220" t="s">
        <v>68</v>
      </c>
      <c r="E25" s="27"/>
      <c r="F25" s="27"/>
      <c r="G25" s="72"/>
      <c r="H25" s="317">
        <v>871</v>
      </c>
      <c r="I25" s="317">
        <v>871</v>
      </c>
      <c r="J25" s="317">
        <v>871</v>
      </c>
      <c r="K25" s="317">
        <v>871</v>
      </c>
      <c r="L25" s="317">
        <v>871</v>
      </c>
      <c r="M25" s="317">
        <v>871</v>
      </c>
      <c r="N25" s="317">
        <v>871</v>
      </c>
      <c r="O25" s="317">
        <v>871</v>
      </c>
      <c r="P25" s="317">
        <v>871</v>
      </c>
      <c r="Q25" s="317">
        <v>871</v>
      </c>
      <c r="R25" s="317">
        <v>871</v>
      </c>
      <c r="S25" s="317">
        <v>871</v>
      </c>
      <c r="T25" s="300">
        <f>SUM(H25:S25)</f>
        <v>10452</v>
      </c>
      <c r="U25" s="396"/>
    </row>
    <row r="26" spans="1:21" x14ac:dyDescent="0.3">
      <c r="A26" s="64"/>
      <c r="B26" s="398"/>
      <c r="C26" s="220" t="s">
        <v>124</v>
      </c>
      <c r="D26" s="27"/>
      <c r="E26" s="27"/>
      <c r="F26" s="27"/>
      <c r="G26" s="72"/>
      <c r="H26" s="318">
        <f>SUM(H21:H25)</f>
        <v>10625</v>
      </c>
      <c r="I26" s="318">
        <f>SUM(I21:I25)</f>
        <v>10625</v>
      </c>
      <c r="J26" s="318">
        <f>SUM(J21:J25)</f>
        <v>10625</v>
      </c>
      <c r="K26" s="318">
        <f>SUM(K21:K25)</f>
        <v>10625</v>
      </c>
      <c r="L26" s="318">
        <f>SUM(L21:L25)</f>
        <v>10625</v>
      </c>
      <c r="M26" s="318">
        <f>SUM(M21:M25)</f>
        <v>10625</v>
      </c>
      <c r="N26" s="318">
        <f>SUM(N21:N25)</f>
        <v>10625</v>
      </c>
      <c r="O26" s="318">
        <f>SUM(O21:O25)</f>
        <v>10625</v>
      </c>
      <c r="P26" s="318">
        <f>SUM(P21:P25)</f>
        <v>10625</v>
      </c>
      <c r="Q26" s="318">
        <f>SUM(Q21:Q25)</f>
        <v>10625</v>
      </c>
      <c r="R26" s="318">
        <f>SUM(R21:R25)</f>
        <v>10625</v>
      </c>
      <c r="S26" s="318">
        <f>SUM(S21:S25)</f>
        <v>10625</v>
      </c>
      <c r="T26" s="300">
        <f>SUM(T21:T25)</f>
        <v>127500</v>
      </c>
      <c r="U26" s="396"/>
    </row>
    <row r="27" spans="1:21" x14ac:dyDescent="0.3">
      <c r="A27" s="64"/>
      <c r="B27" s="396"/>
      <c r="C27" s="12"/>
      <c r="D27" s="12"/>
      <c r="E27" s="12"/>
      <c r="F27" s="12"/>
      <c r="G27" s="115"/>
      <c r="H27" s="89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1"/>
      <c r="U27" s="396"/>
    </row>
    <row r="28" spans="1:21" x14ac:dyDescent="0.3">
      <c r="A28" s="64"/>
      <c r="B28" s="396"/>
      <c r="C28" s="216" t="s">
        <v>125</v>
      </c>
      <c r="D28" s="12"/>
      <c r="E28" s="12"/>
      <c r="F28" s="12"/>
      <c r="G28" s="115"/>
      <c r="H28" s="243">
        <f>H18-H26</f>
        <v>2904</v>
      </c>
      <c r="I28" s="243">
        <f>I18-I26</f>
        <v>2904</v>
      </c>
      <c r="J28" s="243">
        <f>J18-J26</f>
        <v>2904</v>
      </c>
      <c r="K28" s="243">
        <f>K18-K26</f>
        <v>2904</v>
      </c>
      <c r="L28" s="243">
        <f>L18-L26</f>
        <v>2904</v>
      </c>
      <c r="M28" s="243">
        <f>M18-M26</f>
        <v>2904</v>
      </c>
      <c r="N28" s="243">
        <f>N18-N26</f>
        <v>2904</v>
      </c>
      <c r="O28" s="243">
        <f>O18-O26</f>
        <v>2904</v>
      </c>
      <c r="P28" s="243">
        <f>P18-P26</f>
        <v>2904</v>
      </c>
      <c r="Q28" s="243">
        <f>Q18-Q26</f>
        <v>2904</v>
      </c>
      <c r="R28" s="243">
        <f>R18-R26</f>
        <v>2904</v>
      </c>
      <c r="S28" s="243">
        <f>S18-S26</f>
        <v>2904</v>
      </c>
      <c r="T28" s="323">
        <f>T18-T26</f>
        <v>34848</v>
      </c>
      <c r="U28" s="396"/>
    </row>
    <row r="29" spans="1:21" x14ac:dyDescent="0.3">
      <c r="A29" s="64"/>
      <c r="B29" s="396"/>
      <c r="C29" s="216" t="s">
        <v>126</v>
      </c>
      <c r="D29" s="12"/>
      <c r="E29" s="12"/>
      <c r="F29" s="12"/>
      <c r="G29" s="115"/>
      <c r="H29" s="320">
        <f>IFERROR(H28/H10,0)</f>
        <v>7.229995518597819E-2</v>
      </c>
      <c r="I29" s="321">
        <f>IFERROR(I28/I10,0)</f>
        <v>7.229995518597819E-2</v>
      </c>
      <c r="J29" s="321">
        <f>IFERROR(J28/J10,0)</f>
        <v>7.229995518597819E-2</v>
      </c>
      <c r="K29" s="321">
        <f>IFERROR(K28/K10,0)</f>
        <v>7.229995518597819E-2</v>
      </c>
      <c r="L29" s="321">
        <f>IFERROR(L28/L10,0)</f>
        <v>7.229995518597819E-2</v>
      </c>
      <c r="M29" s="321">
        <f>IFERROR(M28/M10,0)</f>
        <v>7.229995518597819E-2</v>
      </c>
      <c r="N29" s="321">
        <f>IFERROR(N28/N10,0)</f>
        <v>7.229995518597819E-2</v>
      </c>
      <c r="O29" s="321">
        <f>IFERROR(O28/O10,0)</f>
        <v>7.229995518597819E-2</v>
      </c>
      <c r="P29" s="321">
        <f>IFERROR(P28/P10,0)</f>
        <v>7.229995518597819E-2</v>
      </c>
      <c r="Q29" s="321">
        <f>IFERROR(Q28/Q10,0)</f>
        <v>7.229995518597819E-2</v>
      </c>
      <c r="R29" s="321">
        <f>IFERROR(R28/R10,0)</f>
        <v>7.229995518597819E-2</v>
      </c>
      <c r="S29" s="321">
        <f>IFERROR(S28/S10,0)</f>
        <v>7.229995518597819E-2</v>
      </c>
      <c r="T29" s="322">
        <f>IFERROR(T28/T10,0)</f>
        <v>7.229995518597819E-2</v>
      </c>
      <c r="U29" s="396"/>
    </row>
    <row r="30" spans="1:21" x14ac:dyDescent="0.3">
      <c r="A30" s="64"/>
      <c r="B30" s="396"/>
      <c r="C30" s="12"/>
      <c r="D30" s="12"/>
      <c r="E30" s="12"/>
      <c r="F30" s="12"/>
      <c r="G30" s="115"/>
      <c r="H30" s="89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1"/>
      <c r="U30" s="396"/>
    </row>
    <row r="31" spans="1:21" x14ac:dyDescent="0.3">
      <c r="A31" s="95"/>
      <c r="B31" s="399"/>
      <c r="C31" s="101"/>
      <c r="D31" s="295" t="s">
        <v>127</v>
      </c>
      <c r="E31" s="101"/>
      <c r="F31" s="101"/>
      <c r="G31" s="72"/>
      <c r="H31" s="317">
        <v>383</v>
      </c>
      <c r="I31" s="317">
        <v>383</v>
      </c>
      <c r="J31" s="317">
        <v>383</v>
      </c>
      <c r="K31" s="317">
        <v>383</v>
      </c>
      <c r="L31" s="317">
        <v>383</v>
      </c>
      <c r="M31" s="317">
        <v>383</v>
      </c>
      <c r="N31" s="317">
        <v>383</v>
      </c>
      <c r="O31" s="317">
        <v>383</v>
      </c>
      <c r="P31" s="317">
        <v>383</v>
      </c>
      <c r="Q31" s="317">
        <v>383</v>
      </c>
      <c r="R31" s="317">
        <v>383</v>
      </c>
      <c r="S31" s="317">
        <v>383</v>
      </c>
      <c r="T31" s="300">
        <f>SUM(H31:S31)</f>
        <v>4596</v>
      </c>
      <c r="U31" s="401"/>
    </row>
    <row r="32" spans="1:21" x14ac:dyDescent="0.3">
      <c r="A32" s="64"/>
      <c r="B32" s="396"/>
      <c r="C32" s="216" t="s">
        <v>128</v>
      </c>
      <c r="D32" s="12"/>
      <c r="E32" s="12"/>
      <c r="F32" s="12"/>
      <c r="G32" s="115"/>
      <c r="H32" s="324">
        <f>H28-H31</f>
        <v>2521</v>
      </c>
      <c r="I32" s="324">
        <f>I28-I31</f>
        <v>2521</v>
      </c>
      <c r="J32" s="324">
        <f>J28-J31</f>
        <v>2521</v>
      </c>
      <c r="K32" s="324">
        <f>K28-K31</f>
        <v>2521</v>
      </c>
      <c r="L32" s="324">
        <f>L28-L31</f>
        <v>2521</v>
      </c>
      <c r="M32" s="324">
        <f>M28-M31</f>
        <v>2521</v>
      </c>
      <c r="N32" s="324">
        <f>N28-N31</f>
        <v>2521</v>
      </c>
      <c r="O32" s="324">
        <f>O28-O31</f>
        <v>2521</v>
      </c>
      <c r="P32" s="324">
        <f>P28-P31</f>
        <v>2521</v>
      </c>
      <c r="Q32" s="324">
        <f>Q28-Q31</f>
        <v>2521</v>
      </c>
      <c r="R32" s="324">
        <f>R28-R31</f>
        <v>2521</v>
      </c>
      <c r="S32" s="324">
        <f>S28-S31</f>
        <v>2521</v>
      </c>
      <c r="T32" s="323">
        <f>T28-T31</f>
        <v>30252</v>
      </c>
      <c r="U32" s="396"/>
    </row>
    <row r="33" spans="1:21" x14ac:dyDescent="0.3">
      <c r="A33" s="64"/>
      <c r="B33" s="396"/>
      <c r="C33" s="12"/>
      <c r="D33" s="12"/>
      <c r="E33" s="12"/>
      <c r="F33" s="12"/>
      <c r="G33" s="115"/>
      <c r="H33" s="89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1"/>
      <c r="U33" s="396"/>
    </row>
    <row r="34" spans="1:21" x14ac:dyDescent="0.3">
      <c r="A34" s="64"/>
      <c r="B34" s="398"/>
      <c r="C34" s="27"/>
      <c r="D34" s="220" t="s">
        <v>129</v>
      </c>
      <c r="E34" s="27"/>
      <c r="F34" s="27"/>
      <c r="G34" s="72"/>
      <c r="H34" s="317">
        <v>1717</v>
      </c>
      <c r="I34" s="317">
        <v>1717</v>
      </c>
      <c r="J34" s="317">
        <v>1717</v>
      </c>
      <c r="K34" s="317">
        <v>1717</v>
      </c>
      <c r="L34" s="317">
        <v>1717</v>
      </c>
      <c r="M34" s="317">
        <v>1717</v>
      </c>
      <c r="N34" s="317">
        <v>1717</v>
      </c>
      <c r="O34" s="317">
        <v>1717</v>
      </c>
      <c r="P34" s="317">
        <v>1717</v>
      </c>
      <c r="Q34" s="317">
        <v>1717</v>
      </c>
      <c r="R34" s="317">
        <v>1717</v>
      </c>
      <c r="S34" s="317">
        <v>1717</v>
      </c>
      <c r="T34" s="300">
        <f>SUM(H34:S34)</f>
        <v>20604</v>
      </c>
      <c r="U34" s="396"/>
    </row>
    <row r="35" spans="1:21" x14ac:dyDescent="0.3">
      <c r="A35" s="95"/>
      <c r="B35" s="399"/>
      <c r="C35" s="295" t="s">
        <v>130</v>
      </c>
      <c r="D35" s="101"/>
      <c r="E35" s="101"/>
      <c r="F35" s="101"/>
      <c r="G35" s="72"/>
      <c r="H35" s="318">
        <f>H32-H34</f>
        <v>804</v>
      </c>
      <c r="I35" s="318">
        <f>I32-I34</f>
        <v>804</v>
      </c>
      <c r="J35" s="318">
        <f>J32-J34</f>
        <v>804</v>
      </c>
      <c r="K35" s="318">
        <f>K32-K34</f>
        <v>804</v>
      </c>
      <c r="L35" s="318">
        <f>L32-L34</f>
        <v>804</v>
      </c>
      <c r="M35" s="318">
        <f>M32-M34</f>
        <v>804</v>
      </c>
      <c r="N35" s="318">
        <f>N32-N34</f>
        <v>804</v>
      </c>
      <c r="O35" s="318">
        <f>O32-O34</f>
        <v>804</v>
      </c>
      <c r="P35" s="318">
        <f>P32-P34</f>
        <v>804</v>
      </c>
      <c r="Q35" s="318">
        <f>Q32-Q34</f>
        <v>804</v>
      </c>
      <c r="R35" s="318">
        <f>R32-R34</f>
        <v>804</v>
      </c>
      <c r="S35" s="318">
        <f>S32-S34</f>
        <v>804</v>
      </c>
      <c r="T35" s="294">
        <f>T32-T34</f>
        <v>9648</v>
      </c>
      <c r="U35" s="401"/>
    </row>
    <row r="36" spans="1:21" x14ac:dyDescent="0.3">
      <c r="A36" s="95"/>
      <c r="B36" s="401"/>
      <c r="C36" s="325" t="s">
        <v>131</v>
      </c>
      <c r="D36" s="97"/>
      <c r="E36" s="97"/>
      <c r="F36" s="97"/>
      <c r="G36" s="153"/>
      <c r="H36" s="320">
        <f>IFERROR(H35/H10,0)</f>
        <v>2.0016929741572473E-2</v>
      </c>
      <c r="I36" s="321">
        <f>IFERROR(I35/I10,0)</f>
        <v>2.0016929741572473E-2</v>
      </c>
      <c r="J36" s="321">
        <f>IFERROR(J35/J10,0)</f>
        <v>2.0016929741572473E-2</v>
      </c>
      <c r="K36" s="321">
        <f>IFERROR(K35/K10,0)</f>
        <v>2.0016929741572473E-2</v>
      </c>
      <c r="L36" s="321">
        <f>IFERROR(L35/L10,0)</f>
        <v>2.0016929741572473E-2</v>
      </c>
      <c r="M36" s="321">
        <f>IFERROR(M35/M10,0)</f>
        <v>2.0016929741572473E-2</v>
      </c>
      <c r="N36" s="321">
        <f>IFERROR(N35/N10,0)</f>
        <v>2.0016929741572473E-2</v>
      </c>
      <c r="O36" s="321">
        <f>IFERROR(O35/O10,0)</f>
        <v>2.0016929741572473E-2</v>
      </c>
      <c r="P36" s="321">
        <f>IFERROR(P35/P10,0)</f>
        <v>2.0016929741572473E-2</v>
      </c>
      <c r="Q36" s="321">
        <f>IFERROR(Q35/Q10,0)</f>
        <v>2.0016929741572473E-2</v>
      </c>
      <c r="R36" s="321">
        <f>IFERROR(R35/R10,0)</f>
        <v>2.0016929741572473E-2</v>
      </c>
      <c r="S36" s="321">
        <f>IFERROR(S35/S10,0)</f>
        <v>2.0016929741572473E-2</v>
      </c>
      <c r="T36" s="322">
        <f>IFERROR(T35/T10,0)</f>
        <v>2.0016929741572473E-2</v>
      </c>
      <c r="U36" s="401"/>
    </row>
    <row r="37" spans="1:21" x14ac:dyDescent="0.3">
      <c r="A37" s="95"/>
      <c r="B37" s="401"/>
      <c r="C37" s="151"/>
      <c r="D37" s="151"/>
      <c r="E37" s="151"/>
      <c r="F37" s="151"/>
      <c r="G37" s="401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401"/>
    </row>
    <row r="38" spans="1:21" x14ac:dyDescent="0.3">
      <c r="A38" s="95"/>
      <c r="B38" s="162"/>
      <c r="C38" s="162" t="s">
        <v>72</v>
      </c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401"/>
    </row>
    <row r="39" spans="1:21" x14ac:dyDescent="0.3">
      <c r="A39" s="95"/>
      <c r="B39" s="163"/>
      <c r="C39" s="163" t="s">
        <v>132</v>
      </c>
      <c r="D39" s="163"/>
      <c r="E39" s="163"/>
      <c r="F39" s="163"/>
      <c r="G39" s="163"/>
      <c r="H39" s="164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6"/>
      <c r="U39" s="401"/>
    </row>
    <row r="40" spans="1:21" x14ac:dyDescent="0.3">
      <c r="A40" s="95"/>
      <c r="B40" s="401"/>
      <c r="C40" s="97"/>
      <c r="D40" s="325" t="s">
        <v>133</v>
      </c>
      <c r="E40" s="97"/>
      <c r="F40" s="97"/>
      <c r="G40" s="115"/>
      <c r="H40" s="324">
        <f>H91</f>
        <v>155456</v>
      </c>
      <c r="I40" s="324">
        <f>I91</f>
        <v>150020</v>
      </c>
      <c r="J40" s="324">
        <f>J91</f>
        <v>144585</v>
      </c>
      <c r="K40" s="324">
        <f>K91</f>
        <v>139151</v>
      </c>
      <c r="L40" s="324">
        <f>L91</f>
        <v>133716</v>
      </c>
      <c r="M40" s="324">
        <f>M91</f>
        <v>128281</v>
      </c>
      <c r="N40" s="324">
        <f>N91</f>
        <v>122846</v>
      </c>
      <c r="O40" s="324">
        <f>O91</f>
        <v>117411</v>
      </c>
      <c r="P40" s="324">
        <f>P91</f>
        <v>111975</v>
      </c>
      <c r="Q40" s="324">
        <f>Q91</f>
        <v>106541</v>
      </c>
      <c r="R40" s="324">
        <f>R91</f>
        <v>101105</v>
      </c>
      <c r="S40" s="324">
        <f>S91</f>
        <v>95671</v>
      </c>
      <c r="T40" s="291">
        <f>S40</f>
        <v>95671</v>
      </c>
      <c r="U40" s="401"/>
    </row>
    <row r="41" spans="1:21" x14ac:dyDescent="0.3">
      <c r="A41" s="95"/>
      <c r="B41" s="401"/>
      <c r="C41" s="97"/>
      <c r="D41" s="325" t="s">
        <v>73</v>
      </c>
      <c r="E41" s="97"/>
      <c r="F41" s="97"/>
      <c r="G41" s="115"/>
      <c r="H41" s="326">
        <v>5865</v>
      </c>
      <c r="I41" s="326">
        <v>11729</v>
      </c>
      <c r="J41" s="326">
        <v>17594</v>
      </c>
      <c r="K41" s="326">
        <v>23458</v>
      </c>
      <c r="L41" s="326">
        <v>29323</v>
      </c>
      <c r="M41" s="326">
        <v>35187</v>
      </c>
      <c r="N41" s="326">
        <v>41052</v>
      </c>
      <c r="O41" s="326">
        <v>46916</v>
      </c>
      <c r="P41" s="326">
        <v>52781</v>
      </c>
      <c r="Q41" s="326">
        <v>58645</v>
      </c>
      <c r="R41" s="326">
        <v>64510</v>
      </c>
      <c r="S41" s="326">
        <v>70374</v>
      </c>
      <c r="T41" s="323">
        <f>S41</f>
        <v>70374</v>
      </c>
      <c r="U41" s="401"/>
    </row>
    <row r="42" spans="1:21" x14ac:dyDescent="0.3">
      <c r="A42" s="95"/>
      <c r="B42" s="401"/>
      <c r="C42" s="97"/>
      <c r="D42" s="325" t="s">
        <v>74</v>
      </c>
      <c r="E42" s="97"/>
      <c r="F42" s="97"/>
      <c r="G42" s="115"/>
      <c r="H42" s="326">
        <v>4935</v>
      </c>
      <c r="I42" s="326">
        <v>9871</v>
      </c>
      <c r="J42" s="326">
        <v>14806</v>
      </c>
      <c r="K42" s="326">
        <v>19741</v>
      </c>
      <c r="L42" s="326">
        <v>24676</v>
      </c>
      <c r="M42" s="326">
        <v>29612</v>
      </c>
      <c r="N42" s="326">
        <v>34547</v>
      </c>
      <c r="O42" s="326">
        <v>39482</v>
      </c>
      <c r="P42" s="326">
        <v>44418</v>
      </c>
      <c r="Q42" s="326">
        <v>49353</v>
      </c>
      <c r="R42" s="326">
        <v>54288</v>
      </c>
      <c r="S42" s="326">
        <v>59223</v>
      </c>
      <c r="T42" s="323">
        <f>S42</f>
        <v>59223</v>
      </c>
      <c r="U42" s="401"/>
    </row>
    <row r="43" spans="1:21" x14ac:dyDescent="0.3">
      <c r="A43" s="95"/>
      <c r="B43" s="399"/>
      <c r="C43" s="101"/>
      <c r="D43" s="295" t="s">
        <v>134</v>
      </c>
      <c r="E43" s="101"/>
      <c r="F43" s="101"/>
      <c r="G43" s="72"/>
      <c r="H43" s="292">
        <f>SUM(H40:H42)</f>
        <v>166256</v>
      </c>
      <c r="I43" s="292">
        <f>SUM(I40:I42)</f>
        <v>171620</v>
      </c>
      <c r="J43" s="292">
        <f>SUM(J40:J42)</f>
        <v>176985</v>
      </c>
      <c r="K43" s="292">
        <f>SUM(K40:K42)</f>
        <v>182350</v>
      </c>
      <c r="L43" s="292">
        <f>SUM(L40:L42)</f>
        <v>187715</v>
      </c>
      <c r="M43" s="292">
        <f>SUM(M40:M42)</f>
        <v>193080</v>
      </c>
      <c r="N43" s="292">
        <f>SUM(N40:N42)</f>
        <v>198445</v>
      </c>
      <c r="O43" s="292">
        <f>SUM(O40:O42)</f>
        <v>203809</v>
      </c>
      <c r="P43" s="292">
        <f>SUM(P40:P42)</f>
        <v>209174</v>
      </c>
      <c r="Q43" s="292">
        <f>SUM(Q40:Q42)</f>
        <v>214539</v>
      </c>
      <c r="R43" s="292">
        <f>SUM(R40:R42)</f>
        <v>219903</v>
      </c>
      <c r="S43" s="292">
        <f>SUM(S40:S42)</f>
        <v>225268</v>
      </c>
      <c r="T43" s="294">
        <f>SUM(T40:T42)</f>
        <v>225268</v>
      </c>
      <c r="U43" s="401"/>
    </row>
    <row r="44" spans="1:21" x14ac:dyDescent="0.3">
      <c r="A44" s="95"/>
      <c r="B44" s="401"/>
      <c r="C44" s="97"/>
      <c r="D44" s="97"/>
      <c r="E44" s="97"/>
      <c r="F44" s="97"/>
      <c r="G44" s="153"/>
      <c r="H44" s="98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8"/>
      <c r="U44" s="401"/>
    </row>
    <row r="45" spans="1:21" x14ac:dyDescent="0.3">
      <c r="A45" s="95"/>
      <c r="B45" s="162"/>
      <c r="C45" s="162" t="s">
        <v>135</v>
      </c>
      <c r="D45" s="162"/>
      <c r="E45" s="162"/>
      <c r="F45" s="162"/>
      <c r="G45" s="162"/>
      <c r="H45" s="140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2"/>
      <c r="U45" s="401"/>
    </row>
    <row r="46" spans="1:21" x14ac:dyDescent="0.3">
      <c r="A46" s="64"/>
      <c r="B46" s="396"/>
      <c r="C46" s="12"/>
      <c r="D46" s="216" t="s">
        <v>75</v>
      </c>
      <c r="E46" s="12"/>
      <c r="F46" s="12"/>
      <c r="G46" s="115"/>
      <c r="H46" s="326">
        <v>1659</v>
      </c>
      <c r="I46" s="326">
        <v>3317</v>
      </c>
      <c r="J46" s="326">
        <v>4976</v>
      </c>
      <c r="K46" s="326">
        <v>6634</v>
      </c>
      <c r="L46" s="326">
        <v>8293</v>
      </c>
      <c r="M46" s="326">
        <v>9952</v>
      </c>
      <c r="N46" s="326">
        <v>11610</v>
      </c>
      <c r="O46" s="326">
        <v>13269</v>
      </c>
      <c r="P46" s="326">
        <v>14927</v>
      </c>
      <c r="Q46" s="326">
        <v>16586</v>
      </c>
      <c r="R46" s="326">
        <v>18244</v>
      </c>
      <c r="S46" s="326">
        <v>19903</v>
      </c>
      <c r="T46" s="323">
        <f>S46</f>
        <v>19903</v>
      </c>
      <c r="U46" s="396"/>
    </row>
    <row r="47" spans="1:21" x14ac:dyDescent="0.3">
      <c r="A47" s="64"/>
      <c r="B47" s="398"/>
      <c r="C47" s="27"/>
      <c r="D47" s="220" t="s">
        <v>136</v>
      </c>
      <c r="E47" s="27"/>
      <c r="F47" s="27"/>
      <c r="G47" s="72"/>
      <c r="H47" s="318">
        <f>SUM(H46)</f>
        <v>1659</v>
      </c>
      <c r="I47" s="318">
        <f>SUM(I46)</f>
        <v>3317</v>
      </c>
      <c r="J47" s="318">
        <f>SUM(J46)</f>
        <v>4976</v>
      </c>
      <c r="K47" s="318">
        <f>SUM(K46)</f>
        <v>6634</v>
      </c>
      <c r="L47" s="318">
        <f>SUM(L46)</f>
        <v>8293</v>
      </c>
      <c r="M47" s="318">
        <f>SUM(M46)</f>
        <v>9952</v>
      </c>
      <c r="N47" s="318">
        <f>SUM(N46)</f>
        <v>11610</v>
      </c>
      <c r="O47" s="318">
        <f>SUM(O46)</f>
        <v>13269</v>
      </c>
      <c r="P47" s="318">
        <f>SUM(P46)</f>
        <v>14927</v>
      </c>
      <c r="Q47" s="318">
        <f>SUM(Q46)</f>
        <v>16586</v>
      </c>
      <c r="R47" s="318">
        <f>SUM(R46)</f>
        <v>18244</v>
      </c>
      <c r="S47" s="318">
        <f>SUM(S46)</f>
        <v>19903</v>
      </c>
      <c r="T47" s="300">
        <f>SUM(T46)</f>
        <v>19903</v>
      </c>
      <c r="U47" s="396"/>
    </row>
    <row r="48" spans="1:21" x14ac:dyDescent="0.3">
      <c r="A48" s="64"/>
      <c r="B48" s="398"/>
      <c r="C48" s="220" t="s">
        <v>137</v>
      </c>
      <c r="D48" s="27"/>
      <c r="E48" s="27"/>
      <c r="F48" s="27"/>
      <c r="G48" s="72"/>
      <c r="H48" s="318">
        <f>H43+H47</f>
        <v>167915</v>
      </c>
      <c r="I48" s="318">
        <f>I43+I47</f>
        <v>174937</v>
      </c>
      <c r="J48" s="318">
        <f>J43+J47</f>
        <v>181961</v>
      </c>
      <c r="K48" s="318">
        <f>K43+K47</f>
        <v>188984</v>
      </c>
      <c r="L48" s="318">
        <f>L43+L47</f>
        <v>196008</v>
      </c>
      <c r="M48" s="318">
        <f>M43+M47</f>
        <v>203032</v>
      </c>
      <c r="N48" s="318">
        <f>N43+N47</f>
        <v>210055</v>
      </c>
      <c r="O48" s="318">
        <f>O43+O47</f>
        <v>217078</v>
      </c>
      <c r="P48" s="318">
        <f>P43+P47</f>
        <v>224101</v>
      </c>
      <c r="Q48" s="318">
        <f>Q43+Q47</f>
        <v>231125</v>
      </c>
      <c r="R48" s="318">
        <f>R43+R47</f>
        <v>238147</v>
      </c>
      <c r="S48" s="318">
        <f>S43+S47</f>
        <v>245171</v>
      </c>
      <c r="T48" s="300">
        <f>T43+T47</f>
        <v>245171</v>
      </c>
      <c r="U48" s="396"/>
    </row>
    <row r="49" spans="1:21" x14ac:dyDescent="0.3">
      <c r="A49" s="64"/>
      <c r="B49" s="396"/>
      <c r="C49" s="12"/>
      <c r="D49" s="12"/>
      <c r="E49" s="12"/>
      <c r="F49" s="12"/>
      <c r="G49" s="115"/>
      <c r="H49" s="89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1"/>
      <c r="U49" s="396"/>
    </row>
    <row r="50" spans="1:21" x14ac:dyDescent="0.3">
      <c r="A50" s="64"/>
      <c r="B50" s="55"/>
      <c r="C50" s="55" t="s">
        <v>138</v>
      </c>
      <c r="D50" s="55"/>
      <c r="E50" s="55"/>
      <c r="F50" s="55"/>
      <c r="G50" s="55"/>
      <c r="H50" s="77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4"/>
      <c r="U50" s="396"/>
    </row>
    <row r="51" spans="1:21" x14ac:dyDescent="0.3">
      <c r="A51" s="64"/>
      <c r="B51" s="396"/>
      <c r="C51" s="12"/>
      <c r="D51" s="216" t="s">
        <v>139</v>
      </c>
      <c r="E51" s="12"/>
      <c r="F51" s="12"/>
      <c r="G51" s="115"/>
      <c r="H51" s="326">
        <v>4205</v>
      </c>
      <c r="I51" s="326">
        <v>8410</v>
      </c>
      <c r="J51" s="326">
        <v>12615</v>
      </c>
      <c r="K51" s="326">
        <v>16820</v>
      </c>
      <c r="L51" s="326">
        <v>21026</v>
      </c>
      <c r="M51" s="326">
        <v>25231</v>
      </c>
      <c r="N51" s="326">
        <v>29436</v>
      </c>
      <c r="O51" s="326">
        <v>33641</v>
      </c>
      <c r="P51" s="326">
        <v>37846</v>
      </c>
      <c r="Q51" s="326">
        <v>42051</v>
      </c>
      <c r="R51" s="326">
        <v>46256</v>
      </c>
      <c r="S51" s="326">
        <v>50461</v>
      </c>
      <c r="T51" s="323">
        <f>S51</f>
        <v>50461</v>
      </c>
      <c r="U51" s="396"/>
    </row>
    <row r="52" spans="1:21" x14ac:dyDescent="0.3">
      <c r="A52" s="64"/>
      <c r="B52" s="396"/>
      <c r="C52" s="12"/>
      <c r="D52" s="216" t="s">
        <v>78</v>
      </c>
      <c r="E52" s="12"/>
      <c r="F52" s="12"/>
      <c r="G52" s="115"/>
      <c r="H52" s="326">
        <v>2077</v>
      </c>
      <c r="I52" s="326">
        <v>4153</v>
      </c>
      <c r="J52" s="326">
        <v>6230</v>
      </c>
      <c r="K52" s="326">
        <v>8307</v>
      </c>
      <c r="L52" s="326">
        <v>10383</v>
      </c>
      <c r="M52" s="326">
        <v>12460</v>
      </c>
      <c r="N52" s="326">
        <v>14537</v>
      </c>
      <c r="O52" s="326">
        <v>16613</v>
      </c>
      <c r="P52" s="326">
        <v>18690</v>
      </c>
      <c r="Q52" s="326">
        <v>20767</v>
      </c>
      <c r="R52" s="326">
        <v>22843</v>
      </c>
      <c r="S52" s="326">
        <v>24920</v>
      </c>
      <c r="T52" s="323">
        <f>S52</f>
        <v>24920</v>
      </c>
      <c r="U52" s="396"/>
    </row>
    <row r="53" spans="1:21" x14ac:dyDescent="0.3">
      <c r="A53" s="64"/>
      <c r="B53" s="398"/>
      <c r="C53" s="27"/>
      <c r="D53" s="220" t="s">
        <v>140</v>
      </c>
      <c r="E53" s="27"/>
      <c r="F53" s="27"/>
      <c r="G53" s="72"/>
      <c r="H53" s="318">
        <f>SUM(H51:H52)</f>
        <v>6282</v>
      </c>
      <c r="I53" s="318">
        <f>SUM(I51:I52)</f>
        <v>12563</v>
      </c>
      <c r="J53" s="318">
        <f>SUM(J51:J52)</f>
        <v>18845</v>
      </c>
      <c r="K53" s="318">
        <f>SUM(K51:K52)</f>
        <v>25127</v>
      </c>
      <c r="L53" s="318">
        <f>SUM(L51:L52)</f>
        <v>31409</v>
      </c>
      <c r="M53" s="318">
        <f>SUM(M51:M52)</f>
        <v>37691</v>
      </c>
      <c r="N53" s="318">
        <f>SUM(N51:N52)</f>
        <v>43973</v>
      </c>
      <c r="O53" s="318">
        <f>SUM(O51:O52)</f>
        <v>50254</v>
      </c>
      <c r="P53" s="318">
        <f>SUM(P51:P52)</f>
        <v>56536</v>
      </c>
      <c r="Q53" s="318">
        <f>SUM(Q51:Q52)</f>
        <v>62818</v>
      </c>
      <c r="R53" s="318">
        <f>SUM(R51:R52)</f>
        <v>69099</v>
      </c>
      <c r="S53" s="318">
        <f>SUM(S51:S52)</f>
        <v>75381</v>
      </c>
      <c r="T53" s="300">
        <f>SUM(T51:T52)</f>
        <v>75381</v>
      </c>
      <c r="U53" s="396"/>
    </row>
    <row r="54" spans="1:21" x14ac:dyDescent="0.3">
      <c r="A54" s="64"/>
      <c r="B54" s="396"/>
      <c r="C54" s="12"/>
      <c r="D54" s="12"/>
      <c r="E54" s="12"/>
      <c r="F54" s="12"/>
      <c r="G54" s="115"/>
      <c r="H54" s="89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1"/>
      <c r="U54" s="396"/>
    </row>
    <row r="55" spans="1:21" x14ac:dyDescent="0.3">
      <c r="A55" s="64"/>
      <c r="B55" s="55"/>
      <c r="C55" s="55" t="s">
        <v>141</v>
      </c>
      <c r="D55" s="55"/>
      <c r="E55" s="55"/>
      <c r="F55" s="55"/>
      <c r="G55" s="55"/>
      <c r="H55" s="77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4"/>
      <c r="U55" s="396"/>
    </row>
    <row r="56" spans="1:21" x14ac:dyDescent="0.3">
      <c r="A56" s="64"/>
      <c r="B56" s="396"/>
      <c r="C56" s="12"/>
      <c r="D56" s="216" t="s">
        <v>82</v>
      </c>
      <c r="E56" s="12"/>
      <c r="F56" s="12"/>
      <c r="G56" s="115"/>
      <c r="H56" s="326">
        <v>70645</v>
      </c>
      <c r="I56" s="326">
        <v>70645</v>
      </c>
      <c r="J56" s="326">
        <v>70645</v>
      </c>
      <c r="K56" s="326">
        <v>70645</v>
      </c>
      <c r="L56" s="326">
        <v>70645</v>
      </c>
      <c r="M56" s="326">
        <v>70645</v>
      </c>
      <c r="N56" s="326">
        <v>70645</v>
      </c>
      <c r="O56" s="326">
        <v>70645</v>
      </c>
      <c r="P56" s="326">
        <v>70645</v>
      </c>
      <c r="Q56" s="326">
        <v>70645</v>
      </c>
      <c r="R56" s="326">
        <v>70645</v>
      </c>
      <c r="S56" s="326">
        <v>70645</v>
      </c>
      <c r="T56" s="323">
        <f>S56</f>
        <v>70645</v>
      </c>
      <c r="U56" s="396"/>
    </row>
    <row r="57" spans="1:21" x14ac:dyDescent="0.3">
      <c r="A57" s="64"/>
      <c r="B57" s="398"/>
      <c r="C57" s="27"/>
      <c r="D57" s="220" t="s">
        <v>142</v>
      </c>
      <c r="E57" s="27"/>
      <c r="F57" s="27"/>
      <c r="G57" s="72"/>
      <c r="H57" s="318">
        <f>SUM(H56)</f>
        <v>70645</v>
      </c>
      <c r="I57" s="318">
        <f>SUM(I56)</f>
        <v>70645</v>
      </c>
      <c r="J57" s="318">
        <f>SUM(J56)</f>
        <v>70645</v>
      </c>
      <c r="K57" s="318">
        <f>SUM(K56)</f>
        <v>70645</v>
      </c>
      <c r="L57" s="318">
        <f>SUM(L56)</f>
        <v>70645</v>
      </c>
      <c r="M57" s="318">
        <f>SUM(M56)</f>
        <v>70645</v>
      </c>
      <c r="N57" s="318">
        <f>SUM(N56)</f>
        <v>70645</v>
      </c>
      <c r="O57" s="318">
        <f>SUM(O56)</f>
        <v>70645</v>
      </c>
      <c r="P57" s="318">
        <f>SUM(P56)</f>
        <v>70645</v>
      </c>
      <c r="Q57" s="318">
        <f>SUM(Q56)</f>
        <v>70645</v>
      </c>
      <c r="R57" s="318">
        <f>SUM(R56)</f>
        <v>70645</v>
      </c>
      <c r="S57" s="318">
        <f>SUM(S56)</f>
        <v>70645</v>
      </c>
      <c r="T57" s="300">
        <f>SUM(T56)</f>
        <v>70645</v>
      </c>
      <c r="U57" s="396"/>
    </row>
    <row r="58" spans="1:21" x14ac:dyDescent="0.3">
      <c r="A58" s="64"/>
      <c r="B58" s="398"/>
      <c r="C58" s="220" t="s">
        <v>143</v>
      </c>
      <c r="D58" s="27"/>
      <c r="E58" s="27"/>
      <c r="F58" s="27"/>
      <c r="G58" s="72"/>
      <c r="H58" s="318">
        <f>H53+H57</f>
        <v>76927</v>
      </c>
      <c r="I58" s="318">
        <f>I53+I57</f>
        <v>83208</v>
      </c>
      <c r="J58" s="318">
        <f>J53+J57</f>
        <v>89490</v>
      </c>
      <c r="K58" s="318">
        <f>K53+K57</f>
        <v>95772</v>
      </c>
      <c r="L58" s="318">
        <f>L53+L57</f>
        <v>102054</v>
      </c>
      <c r="M58" s="318">
        <f>M53+M57</f>
        <v>108336</v>
      </c>
      <c r="N58" s="318">
        <f>N53+N57</f>
        <v>114618</v>
      </c>
      <c r="O58" s="318">
        <f>O53+O57</f>
        <v>120899</v>
      </c>
      <c r="P58" s="318">
        <f>P53+P57</f>
        <v>127181</v>
      </c>
      <c r="Q58" s="318">
        <f>Q53+Q57</f>
        <v>133463</v>
      </c>
      <c r="R58" s="318">
        <f>R53+R57</f>
        <v>139744</v>
      </c>
      <c r="S58" s="318">
        <f>S53+S57</f>
        <v>146026</v>
      </c>
      <c r="T58" s="300">
        <f>T53+T57</f>
        <v>146026</v>
      </c>
      <c r="U58" s="396"/>
    </row>
    <row r="59" spans="1:21" x14ac:dyDescent="0.3">
      <c r="A59" s="64"/>
      <c r="B59" s="396"/>
      <c r="C59" s="12"/>
      <c r="D59" s="12"/>
      <c r="E59" s="12"/>
      <c r="F59" s="12"/>
      <c r="G59" s="115"/>
      <c r="H59" s="89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1"/>
      <c r="U59" s="396"/>
    </row>
    <row r="60" spans="1:21" x14ac:dyDescent="0.3">
      <c r="A60" s="64"/>
      <c r="B60" s="55"/>
      <c r="C60" s="55" t="s">
        <v>6</v>
      </c>
      <c r="D60" s="55"/>
      <c r="E60" s="55"/>
      <c r="F60" s="55"/>
      <c r="G60" s="55"/>
      <c r="H60" s="77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4"/>
      <c r="U60" s="396"/>
    </row>
    <row r="61" spans="1:21" x14ac:dyDescent="0.3">
      <c r="A61" s="64"/>
      <c r="B61" s="396"/>
      <c r="C61" s="12"/>
      <c r="D61" s="216" t="s">
        <v>84</v>
      </c>
      <c r="E61" s="12"/>
      <c r="F61" s="12"/>
      <c r="G61" s="115"/>
      <c r="H61" s="326">
        <v>130094</v>
      </c>
      <c r="I61" s="326">
        <v>130094</v>
      </c>
      <c r="J61" s="326">
        <v>130094</v>
      </c>
      <c r="K61" s="326">
        <v>130094</v>
      </c>
      <c r="L61" s="326">
        <v>130094</v>
      </c>
      <c r="M61" s="326">
        <v>130094</v>
      </c>
      <c r="N61" s="326">
        <v>130094</v>
      </c>
      <c r="O61" s="326">
        <v>130094</v>
      </c>
      <c r="P61" s="326">
        <v>130094</v>
      </c>
      <c r="Q61" s="326">
        <v>130094</v>
      </c>
      <c r="R61" s="326">
        <v>130094</v>
      </c>
      <c r="S61" s="326">
        <v>130094</v>
      </c>
      <c r="T61" s="323">
        <f>S61</f>
        <v>130094</v>
      </c>
      <c r="U61" s="396"/>
    </row>
    <row r="62" spans="1:21" x14ac:dyDescent="0.3">
      <c r="A62" s="64"/>
      <c r="B62" s="396"/>
      <c r="C62" s="12"/>
      <c r="D62" s="216" t="s">
        <v>5</v>
      </c>
      <c r="E62" s="12"/>
      <c r="F62" s="12"/>
      <c r="G62" s="115"/>
      <c r="H62" s="243">
        <f>H35+H86</f>
        <v>804</v>
      </c>
      <c r="I62" s="243">
        <f>H62+I35+I86</f>
        <v>1608</v>
      </c>
      <c r="J62" s="243">
        <f>I62+J35+J86</f>
        <v>2412</v>
      </c>
      <c r="K62" s="243">
        <f>J62+K35+K86</f>
        <v>3216</v>
      </c>
      <c r="L62" s="243">
        <f>K62+L35+L86</f>
        <v>4020</v>
      </c>
      <c r="M62" s="243">
        <f>L62+M35+M86</f>
        <v>4824</v>
      </c>
      <c r="N62" s="243">
        <f>M62+N35+N86</f>
        <v>5628</v>
      </c>
      <c r="O62" s="243">
        <f>N62+O35+O86</f>
        <v>6432</v>
      </c>
      <c r="P62" s="243">
        <f>O62+P35+P86</f>
        <v>7236</v>
      </c>
      <c r="Q62" s="243">
        <f>P62+Q35+Q86</f>
        <v>8040</v>
      </c>
      <c r="R62" s="243">
        <f>Q62+R35+R86</f>
        <v>8844</v>
      </c>
      <c r="S62" s="243">
        <f>R62+S35+S86</f>
        <v>9648</v>
      </c>
      <c r="T62" s="323">
        <f>S62</f>
        <v>9648</v>
      </c>
      <c r="U62" s="154"/>
    </row>
    <row r="63" spans="1:21" x14ac:dyDescent="0.3">
      <c r="A63" s="64"/>
      <c r="B63" s="398"/>
      <c r="C63" s="27"/>
      <c r="D63" s="220" t="s">
        <v>144</v>
      </c>
      <c r="E63" s="27"/>
      <c r="F63" s="27"/>
      <c r="G63" s="72"/>
      <c r="H63" s="318">
        <f>SUM(H61:H62)</f>
        <v>130898</v>
      </c>
      <c r="I63" s="318">
        <f>SUM(I61:I62)</f>
        <v>131702</v>
      </c>
      <c r="J63" s="318">
        <f>SUM(J61:J62)</f>
        <v>132506</v>
      </c>
      <c r="K63" s="318">
        <f>SUM(K61:K62)</f>
        <v>133310</v>
      </c>
      <c r="L63" s="318">
        <f>SUM(L61:L62)</f>
        <v>134114</v>
      </c>
      <c r="M63" s="318">
        <f>SUM(M61:M62)</f>
        <v>134918</v>
      </c>
      <c r="N63" s="318">
        <f>SUM(N61:N62)</f>
        <v>135722</v>
      </c>
      <c r="O63" s="318">
        <f>SUM(O61:O62)</f>
        <v>136526</v>
      </c>
      <c r="P63" s="318">
        <f>SUM(P61:P62)</f>
        <v>137330</v>
      </c>
      <c r="Q63" s="318">
        <f>SUM(Q61:Q62)</f>
        <v>138134</v>
      </c>
      <c r="R63" s="318">
        <f>SUM(R61:R62)</f>
        <v>138938</v>
      </c>
      <c r="S63" s="318">
        <f>SUM(S61:S62)</f>
        <v>139742</v>
      </c>
      <c r="T63" s="300">
        <f>SUM(T61:T62)</f>
        <v>139742</v>
      </c>
      <c r="U63" s="396"/>
    </row>
    <row r="64" spans="1:21" x14ac:dyDescent="0.3">
      <c r="A64" s="64"/>
      <c r="B64" s="398"/>
      <c r="C64" s="220" t="s">
        <v>145</v>
      </c>
      <c r="D64" s="27"/>
      <c r="E64" s="27"/>
      <c r="F64" s="27"/>
      <c r="G64" s="72"/>
      <c r="H64" s="318">
        <f>H58+H63</f>
        <v>207825</v>
      </c>
      <c r="I64" s="318">
        <f>I58+I63</f>
        <v>214910</v>
      </c>
      <c r="J64" s="318">
        <f>J58+J63</f>
        <v>221996</v>
      </c>
      <c r="K64" s="318">
        <f>K58+K63</f>
        <v>229082</v>
      </c>
      <c r="L64" s="318">
        <f>L58+L63</f>
        <v>236168</v>
      </c>
      <c r="M64" s="318">
        <f>M58+M63</f>
        <v>243254</v>
      </c>
      <c r="N64" s="318">
        <f>N58+N63</f>
        <v>250340</v>
      </c>
      <c r="O64" s="318">
        <f>O58+O63</f>
        <v>257425</v>
      </c>
      <c r="P64" s="318">
        <f>P58+P63</f>
        <v>264511</v>
      </c>
      <c r="Q64" s="318">
        <f>Q58+Q63</f>
        <v>271597</v>
      </c>
      <c r="R64" s="318">
        <f>R58+R63</f>
        <v>278682</v>
      </c>
      <c r="S64" s="318">
        <f>S58+S63</f>
        <v>285768</v>
      </c>
      <c r="T64" s="300">
        <f>T58+T63</f>
        <v>285768</v>
      </c>
      <c r="U64" s="396"/>
    </row>
    <row r="65" spans="1:21" x14ac:dyDescent="0.3">
      <c r="A65" s="64"/>
      <c r="B65" s="396"/>
      <c r="C65" s="12"/>
      <c r="D65" s="12"/>
      <c r="E65" s="12"/>
      <c r="F65" s="12"/>
      <c r="G65" s="115"/>
      <c r="H65" s="89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1"/>
      <c r="U65" s="396"/>
    </row>
    <row r="66" spans="1:21" x14ac:dyDescent="0.3">
      <c r="A66" s="429"/>
      <c r="B66" s="430"/>
      <c r="C66" s="327"/>
      <c r="D66" s="327" t="s">
        <v>146</v>
      </c>
      <c r="E66" s="327"/>
      <c r="F66" s="327"/>
      <c r="G66" s="327"/>
      <c r="H66" s="243">
        <f>H48-H64</f>
        <v>-39910</v>
      </c>
      <c r="I66" s="328">
        <f>I48-I64</f>
        <v>-39973</v>
      </c>
      <c r="J66" s="328">
        <f>J48-J64</f>
        <v>-40035</v>
      </c>
      <c r="K66" s="328">
        <f>K48-K64</f>
        <v>-40098</v>
      </c>
      <c r="L66" s="328">
        <f>L48-L64</f>
        <v>-40160</v>
      </c>
      <c r="M66" s="328">
        <f>M48-M64</f>
        <v>-40222</v>
      </c>
      <c r="N66" s="328">
        <f>N48-N64</f>
        <v>-40285</v>
      </c>
      <c r="O66" s="328">
        <f>O48-O64</f>
        <v>-40347</v>
      </c>
      <c r="P66" s="328">
        <f>P48-P64</f>
        <v>-40410</v>
      </c>
      <c r="Q66" s="328">
        <f>Q48-Q64</f>
        <v>-40472</v>
      </c>
      <c r="R66" s="328">
        <f>R48-R64</f>
        <v>-40535</v>
      </c>
      <c r="S66" s="328">
        <f>S48-S64</f>
        <v>-40597</v>
      </c>
      <c r="T66" s="323">
        <f>T48-T64</f>
        <v>-40597</v>
      </c>
      <c r="U66" s="430"/>
    </row>
    <row r="67" spans="1:21" x14ac:dyDescent="0.3">
      <c r="A67" s="64"/>
      <c r="B67" s="396"/>
      <c r="C67" s="92"/>
      <c r="D67" s="92"/>
      <c r="E67" s="92"/>
      <c r="F67" s="92"/>
      <c r="G67" s="396"/>
      <c r="H67" s="159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396"/>
    </row>
    <row r="68" spans="1:21" x14ac:dyDescent="0.3">
      <c r="A68" s="64"/>
      <c r="B68" s="33"/>
      <c r="C68" s="167" t="s">
        <v>147</v>
      </c>
      <c r="D68" s="167"/>
      <c r="E68" s="167"/>
      <c r="F68" s="167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96"/>
    </row>
    <row r="69" spans="1:21" x14ac:dyDescent="0.3">
      <c r="A69" s="64"/>
      <c r="B69" s="33"/>
      <c r="C69" s="33" t="s">
        <v>148</v>
      </c>
      <c r="D69" s="33"/>
      <c r="E69" s="33"/>
      <c r="F69" s="33"/>
      <c r="G69" s="33"/>
      <c r="H69" s="147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9"/>
      <c r="U69" s="396"/>
    </row>
    <row r="70" spans="1:21" x14ac:dyDescent="0.3">
      <c r="A70" s="64"/>
      <c r="B70" s="398"/>
      <c r="C70" s="27"/>
      <c r="D70" s="220" t="s">
        <v>130</v>
      </c>
      <c r="E70" s="27"/>
      <c r="F70" s="27"/>
      <c r="G70" s="72"/>
      <c r="H70" s="318">
        <f>H35</f>
        <v>804</v>
      </c>
      <c r="I70" s="318">
        <f>I35</f>
        <v>804</v>
      </c>
      <c r="J70" s="318">
        <f>J35</f>
        <v>804</v>
      </c>
      <c r="K70" s="318">
        <f>K35</f>
        <v>804</v>
      </c>
      <c r="L70" s="318">
        <f>L35</f>
        <v>804</v>
      </c>
      <c r="M70" s="318">
        <f>M35</f>
        <v>804</v>
      </c>
      <c r="N70" s="318">
        <f>N35</f>
        <v>804</v>
      </c>
      <c r="O70" s="318">
        <f>O35</f>
        <v>804</v>
      </c>
      <c r="P70" s="318">
        <f>P35</f>
        <v>804</v>
      </c>
      <c r="Q70" s="318">
        <f>Q35</f>
        <v>804</v>
      </c>
      <c r="R70" s="318">
        <f>R35</f>
        <v>804</v>
      </c>
      <c r="S70" s="318">
        <f>S35</f>
        <v>804</v>
      </c>
      <c r="T70" s="300">
        <f>SUM(H70:S70)</f>
        <v>9648</v>
      </c>
      <c r="U70" s="396"/>
    </row>
    <row r="71" spans="1:21" x14ac:dyDescent="0.3">
      <c r="A71" s="64"/>
      <c r="B71" s="398"/>
      <c r="C71" s="27"/>
      <c r="D71" s="220" t="s">
        <v>149</v>
      </c>
      <c r="E71" s="27"/>
      <c r="F71" s="27"/>
      <c r="G71" s="72"/>
      <c r="H71" s="318">
        <f>H25</f>
        <v>871</v>
      </c>
      <c r="I71" s="318">
        <f>I25</f>
        <v>871</v>
      </c>
      <c r="J71" s="318">
        <f>J25</f>
        <v>871</v>
      </c>
      <c r="K71" s="318">
        <f>K25</f>
        <v>871</v>
      </c>
      <c r="L71" s="318">
        <f>L25</f>
        <v>871</v>
      </c>
      <c r="M71" s="318">
        <f>M25</f>
        <v>871</v>
      </c>
      <c r="N71" s="318">
        <f>N25</f>
        <v>871</v>
      </c>
      <c r="O71" s="318">
        <f>O25</f>
        <v>871</v>
      </c>
      <c r="P71" s="318">
        <f>P25</f>
        <v>871</v>
      </c>
      <c r="Q71" s="318">
        <f>Q25</f>
        <v>871</v>
      </c>
      <c r="R71" s="318">
        <f>R25</f>
        <v>871</v>
      </c>
      <c r="S71" s="318">
        <f>S25</f>
        <v>871</v>
      </c>
      <c r="T71" s="300">
        <f>SUM(H71:S71)</f>
        <v>10452</v>
      </c>
      <c r="U71" s="396"/>
    </row>
    <row r="72" spans="1:21" x14ac:dyDescent="0.3">
      <c r="A72" s="64"/>
      <c r="B72" s="396"/>
      <c r="C72" s="12"/>
      <c r="D72" s="216" t="s">
        <v>150</v>
      </c>
      <c r="E72" s="12"/>
      <c r="F72" s="12"/>
      <c r="G72" s="115"/>
      <c r="H72" s="89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12"/>
      <c r="U72" s="396"/>
    </row>
    <row r="73" spans="1:21" x14ac:dyDescent="0.3">
      <c r="A73" s="64"/>
      <c r="B73" s="396"/>
      <c r="C73" s="12"/>
      <c r="D73" s="12"/>
      <c r="E73" s="216" t="s">
        <v>73</v>
      </c>
      <c r="F73" s="12"/>
      <c r="G73" s="115"/>
      <c r="H73" s="243">
        <f>0-H41</f>
        <v>-5865</v>
      </c>
      <c r="I73" s="243">
        <f>H41-I41</f>
        <v>-5864</v>
      </c>
      <c r="J73" s="243">
        <f>I41-J41</f>
        <v>-5865</v>
      </c>
      <c r="K73" s="243">
        <f>J41-K41</f>
        <v>-5864</v>
      </c>
      <c r="L73" s="243">
        <f>K41-L41</f>
        <v>-5865</v>
      </c>
      <c r="M73" s="243">
        <f>L41-M41</f>
        <v>-5864</v>
      </c>
      <c r="N73" s="243">
        <f>M41-N41</f>
        <v>-5865</v>
      </c>
      <c r="O73" s="243">
        <f>N41-O41</f>
        <v>-5864</v>
      </c>
      <c r="P73" s="243">
        <f>O41-P41</f>
        <v>-5865</v>
      </c>
      <c r="Q73" s="243">
        <f>P41-Q41</f>
        <v>-5864</v>
      </c>
      <c r="R73" s="243">
        <f>Q41-R41</f>
        <v>-5865</v>
      </c>
      <c r="S73" s="243">
        <f>R41-S41</f>
        <v>-5864</v>
      </c>
      <c r="T73" s="323">
        <f>-T41</f>
        <v>-70374</v>
      </c>
      <c r="U73" s="396"/>
    </row>
    <row r="74" spans="1:21" x14ac:dyDescent="0.3">
      <c r="A74" s="64"/>
      <c r="B74" s="396"/>
      <c r="C74" s="12"/>
      <c r="D74" s="12"/>
      <c r="E74" s="216" t="s">
        <v>74</v>
      </c>
      <c r="F74" s="12"/>
      <c r="G74" s="115"/>
      <c r="H74" s="243">
        <f>0-H42</f>
        <v>-4935</v>
      </c>
      <c r="I74" s="243">
        <f>H42-I42</f>
        <v>-4936</v>
      </c>
      <c r="J74" s="243">
        <f>I42-J42</f>
        <v>-4935</v>
      </c>
      <c r="K74" s="243">
        <f>J42-K42</f>
        <v>-4935</v>
      </c>
      <c r="L74" s="243">
        <f>K42-L42</f>
        <v>-4935</v>
      </c>
      <c r="M74" s="243">
        <f>L42-M42</f>
        <v>-4936</v>
      </c>
      <c r="N74" s="243">
        <f>M42-N42</f>
        <v>-4935</v>
      </c>
      <c r="O74" s="243">
        <f>N42-O42</f>
        <v>-4935</v>
      </c>
      <c r="P74" s="243">
        <f>O42-P42</f>
        <v>-4936</v>
      </c>
      <c r="Q74" s="243">
        <f>P42-Q42</f>
        <v>-4935</v>
      </c>
      <c r="R74" s="243">
        <f>Q42-R42</f>
        <v>-4935</v>
      </c>
      <c r="S74" s="243">
        <f>R42-S42</f>
        <v>-4935</v>
      </c>
      <c r="T74" s="323">
        <f>-T42</f>
        <v>-59223</v>
      </c>
      <c r="U74" s="396"/>
    </row>
    <row r="75" spans="1:21" x14ac:dyDescent="0.3">
      <c r="A75" s="64"/>
      <c r="B75" s="396"/>
      <c r="C75" s="12"/>
      <c r="D75" s="12"/>
      <c r="E75" s="216" t="s">
        <v>77</v>
      </c>
      <c r="F75" s="12"/>
      <c r="G75" s="115"/>
      <c r="H75" s="243">
        <f>H51-0</f>
        <v>4205</v>
      </c>
      <c r="I75" s="243">
        <f>I51-H51</f>
        <v>4205</v>
      </c>
      <c r="J75" s="243">
        <f>J51-I51</f>
        <v>4205</v>
      </c>
      <c r="K75" s="243">
        <f>K51-J51</f>
        <v>4205</v>
      </c>
      <c r="L75" s="243">
        <f>L51-K51</f>
        <v>4206</v>
      </c>
      <c r="M75" s="243">
        <f>M51-L51</f>
        <v>4205</v>
      </c>
      <c r="N75" s="243">
        <f>N51-M51</f>
        <v>4205</v>
      </c>
      <c r="O75" s="243">
        <f>O51-N51</f>
        <v>4205</v>
      </c>
      <c r="P75" s="243">
        <f>P51-O51</f>
        <v>4205</v>
      </c>
      <c r="Q75" s="243">
        <f>Q51-P51</f>
        <v>4205</v>
      </c>
      <c r="R75" s="243">
        <f>R51-Q51</f>
        <v>4205</v>
      </c>
      <c r="S75" s="243">
        <f>S51-R51</f>
        <v>4205</v>
      </c>
      <c r="T75" s="323">
        <f>T51</f>
        <v>50461</v>
      </c>
      <c r="U75" s="396"/>
    </row>
    <row r="76" spans="1:21" x14ac:dyDescent="0.3">
      <c r="A76" s="64"/>
      <c r="B76" s="396"/>
      <c r="C76" s="12"/>
      <c r="D76" s="12"/>
      <c r="E76" s="216" t="s">
        <v>78</v>
      </c>
      <c r="F76" s="12"/>
      <c r="G76" s="115"/>
      <c r="H76" s="243">
        <f>H52-0</f>
        <v>2077</v>
      </c>
      <c r="I76" s="243">
        <f>I52-H52</f>
        <v>2076</v>
      </c>
      <c r="J76" s="243">
        <f>J52-I52</f>
        <v>2077</v>
      </c>
      <c r="K76" s="243">
        <f>K52-J52</f>
        <v>2077</v>
      </c>
      <c r="L76" s="243">
        <f>L52-K52</f>
        <v>2076</v>
      </c>
      <c r="M76" s="243">
        <f>M52-L52</f>
        <v>2077</v>
      </c>
      <c r="N76" s="243">
        <f>N52-M52</f>
        <v>2077</v>
      </c>
      <c r="O76" s="243">
        <f>O52-N52</f>
        <v>2076</v>
      </c>
      <c r="P76" s="243">
        <f>P52-O52</f>
        <v>2077</v>
      </c>
      <c r="Q76" s="243">
        <f>Q52-P52</f>
        <v>2077</v>
      </c>
      <c r="R76" s="243">
        <f>R52-Q52</f>
        <v>2076</v>
      </c>
      <c r="S76" s="243">
        <f>S52-R52</f>
        <v>2077</v>
      </c>
      <c r="T76" s="323">
        <f>T52</f>
        <v>24920</v>
      </c>
      <c r="U76" s="396"/>
    </row>
    <row r="77" spans="1:21" x14ac:dyDescent="0.3">
      <c r="A77" s="64"/>
      <c r="B77" s="398"/>
      <c r="C77" s="220" t="s">
        <v>151</v>
      </c>
      <c r="D77" s="27"/>
      <c r="E77" s="27"/>
      <c r="F77" s="27"/>
      <c r="G77" s="72"/>
      <c r="H77" s="318">
        <f>SUM(H70:H76)</f>
        <v>-2843</v>
      </c>
      <c r="I77" s="299">
        <f>SUM(I70:I76)</f>
        <v>-2844</v>
      </c>
      <c r="J77" s="299">
        <f>SUM(J70:J76)</f>
        <v>-2843</v>
      </c>
      <c r="K77" s="299">
        <f>SUM(K70:K76)</f>
        <v>-2842</v>
      </c>
      <c r="L77" s="299">
        <f>SUM(L70:L76)</f>
        <v>-2843</v>
      </c>
      <c r="M77" s="299">
        <f>SUM(M70:M76)</f>
        <v>-2843</v>
      </c>
      <c r="N77" s="299">
        <f>SUM(N70:N76)</f>
        <v>-2843</v>
      </c>
      <c r="O77" s="299">
        <f>SUM(O70:O76)</f>
        <v>-2843</v>
      </c>
      <c r="P77" s="299">
        <f>SUM(P70:P76)</f>
        <v>-2844</v>
      </c>
      <c r="Q77" s="299">
        <f>SUM(Q70:Q76)</f>
        <v>-2842</v>
      </c>
      <c r="R77" s="299">
        <f>SUM(R70:R76)</f>
        <v>-2844</v>
      </c>
      <c r="S77" s="299">
        <f>SUM(S70:S76)</f>
        <v>-2842</v>
      </c>
      <c r="T77" s="300">
        <f>SUM(T70:T76)</f>
        <v>-34116</v>
      </c>
      <c r="U77" s="396"/>
    </row>
    <row r="78" spans="1:21" x14ac:dyDescent="0.3">
      <c r="A78" s="64"/>
      <c r="B78" s="396"/>
      <c r="C78" s="12"/>
      <c r="D78" s="12"/>
      <c r="E78" s="12"/>
      <c r="F78" s="12"/>
      <c r="G78" s="115"/>
      <c r="H78" s="89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1"/>
      <c r="U78" s="396"/>
    </row>
    <row r="79" spans="1:21" x14ac:dyDescent="0.3">
      <c r="A79" s="64"/>
      <c r="B79" s="33"/>
      <c r="C79" s="33" t="s">
        <v>152</v>
      </c>
      <c r="D79" s="33"/>
      <c r="E79" s="33"/>
      <c r="F79" s="33"/>
      <c r="G79" s="33"/>
      <c r="H79" s="147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9"/>
      <c r="U79" s="396"/>
    </row>
    <row r="80" spans="1:21" x14ac:dyDescent="0.3">
      <c r="A80" s="64"/>
      <c r="B80" s="398"/>
      <c r="C80" s="27"/>
      <c r="D80" s="220" t="s">
        <v>153</v>
      </c>
      <c r="E80" s="27"/>
      <c r="F80" s="27"/>
      <c r="G80" s="72"/>
      <c r="H80" s="317">
        <v>-2592</v>
      </c>
      <c r="I80" s="317">
        <v>-2592</v>
      </c>
      <c r="J80" s="317">
        <v>-2592</v>
      </c>
      <c r="K80" s="317">
        <v>-2592</v>
      </c>
      <c r="L80" s="317">
        <v>-2592</v>
      </c>
      <c r="M80" s="317">
        <v>-2592</v>
      </c>
      <c r="N80" s="317">
        <v>-2592</v>
      </c>
      <c r="O80" s="317">
        <v>-2592</v>
      </c>
      <c r="P80" s="317">
        <v>-2592</v>
      </c>
      <c r="Q80" s="317">
        <v>-2592</v>
      </c>
      <c r="R80" s="317">
        <v>-2592</v>
      </c>
      <c r="S80" s="317">
        <v>-2592</v>
      </c>
      <c r="T80" s="300">
        <f>SUM(H80:S80)</f>
        <v>-31104</v>
      </c>
      <c r="U80" s="396"/>
    </row>
    <row r="81" spans="1:21" x14ac:dyDescent="0.3">
      <c r="A81" s="64"/>
      <c r="B81" s="398"/>
      <c r="C81" s="220" t="s">
        <v>154</v>
      </c>
      <c r="D81" s="27"/>
      <c r="E81" s="27"/>
      <c r="F81" s="27"/>
      <c r="G81" s="72"/>
      <c r="H81" s="318">
        <f>SUM(H80)</f>
        <v>-2592</v>
      </c>
      <c r="I81" s="299">
        <f>SUM(I80)</f>
        <v>-2592</v>
      </c>
      <c r="J81" s="299">
        <f>SUM(J80)</f>
        <v>-2592</v>
      </c>
      <c r="K81" s="299">
        <f>SUM(K80)</f>
        <v>-2592</v>
      </c>
      <c r="L81" s="299">
        <f>SUM(L80)</f>
        <v>-2592</v>
      </c>
      <c r="M81" s="299">
        <f>SUM(M80)</f>
        <v>-2592</v>
      </c>
      <c r="N81" s="299">
        <f>SUM(N80)</f>
        <v>-2592</v>
      </c>
      <c r="O81" s="299">
        <f>SUM(O80)</f>
        <v>-2592</v>
      </c>
      <c r="P81" s="299">
        <f>SUM(P80)</f>
        <v>-2592</v>
      </c>
      <c r="Q81" s="299">
        <f>SUM(Q80)</f>
        <v>-2592</v>
      </c>
      <c r="R81" s="299">
        <f>SUM(R80)</f>
        <v>-2592</v>
      </c>
      <c r="S81" s="299">
        <f>SUM(S80)</f>
        <v>-2592</v>
      </c>
      <c r="T81" s="300">
        <f>SUM(T80)</f>
        <v>-31104</v>
      </c>
      <c r="U81" s="396"/>
    </row>
    <row r="82" spans="1:21" x14ac:dyDescent="0.3">
      <c r="A82" s="64"/>
      <c r="B82" s="396"/>
      <c r="C82" s="12"/>
      <c r="D82" s="12"/>
      <c r="E82" s="12"/>
      <c r="F82" s="12"/>
      <c r="G82" s="115"/>
      <c r="H82" s="89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1"/>
      <c r="U82" s="396"/>
    </row>
    <row r="83" spans="1:21" x14ac:dyDescent="0.3">
      <c r="A83" s="64"/>
      <c r="B83" s="33"/>
      <c r="C83" s="33" t="s">
        <v>155</v>
      </c>
      <c r="D83" s="33"/>
      <c r="E83" s="33"/>
      <c r="F83" s="33"/>
      <c r="G83" s="33"/>
      <c r="H83" s="147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9"/>
      <c r="U83" s="396"/>
    </row>
    <row r="84" spans="1:21" x14ac:dyDescent="0.3">
      <c r="A84" s="64"/>
      <c r="B84" s="398"/>
      <c r="C84" s="27"/>
      <c r="D84" s="220" t="s">
        <v>156</v>
      </c>
      <c r="E84" s="27"/>
      <c r="F84" s="27"/>
      <c r="G84" s="72"/>
      <c r="H84" s="317">
        <v>69097</v>
      </c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300">
        <f>SUM(H84:S84)</f>
        <v>69097</v>
      </c>
      <c r="U84" s="396"/>
    </row>
    <row r="85" spans="1:21" x14ac:dyDescent="0.3">
      <c r="A85" s="64"/>
      <c r="B85" s="398"/>
      <c r="C85" s="27"/>
      <c r="D85" s="220" t="s">
        <v>157</v>
      </c>
      <c r="E85" s="27"/>
      <c r="F85" s="27"/>
      <c r="G85" s="72"/>
      <c r="H85" s="317">
        <v>91794</v>
      </c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300">
        <f>SUM(H85:S85)</f>
        <v>91794</v>
      </c>
      <c r="U85" s="396"/>
    </row>
    <row r="86" spans="1:21" x14ac:dyDescent="0.3">
      <c r="A86" s="64"/>
      <c r="B86" s="396"/>
      <c r="C86" s="12"/>
      <c r="D86" s="216" t="s">
        <v>87</v>
      </c>
      <c r="E86" s="12"/>
      <c r="F86" s="12"/>
      <c r="G86" s="115"/>
      <c r="H86" s="485"/>
      <c r="I86" s="486"/>
      <c r="J86" s="486"/>
      <c r="K86" s="486"/>
      <c r="L86" s="486"/>
      <c r="M86" s="486"/>
      <c r="N86" s="486"/>
      <c r="O86" s="486"/>
      <c r="P86" s="486"/>
      <c r="Q86" s="486"/>
      <c r="R86" s="486"/>
      <c r="S86" s="486"/>
      <c r="T86" s="12"/>
      <c r="U86" s="396"/>
    </row>
    <row r="87" spans="1:21" x14ac:dyDescent="0.3">
      <c r="A87" s="64"/>
      <c r="B87" s="398"/>
      <c r="C87" s="220" t="s">
        <v>158</v>
      </c>
      <c r="D87" s="27"/>
      <c r="E87" s="27"/>
      <c r="F87" s="27"/>
      <c r="G87" s="72"/>
      <c r="H87" s="318">
        <f>SUM(H84:H86)</f>
        <v>160891</v>
      </c>
      <c r="I87" s="299">
        <f>SUM(I84:I86)</f>
        <v>0</v>
      </c>
      <c r="J87" s="299">
        <f>SUM(J84:J86)</f>
        <v>0</v>
      </c>
      <c r="K87" s="299">
        <f>SUM(K84:K86)</f>
        <v>0</v>
      </c>
      <c r="L87" s="299">
        <f>SUM(L84:L86)</f>
        <v>0</v>
      </c>
      <c r="M87" s="299">
        <f>SUM(M84:M86)</f>
        <v>0</v>
      </c>
      <c r="N87" s="299">
        <f>SUM(N84:N86)</f>
        <v>0</v>
      </c>
      <c r="O87" s="299">
        <f>SUM(O84:O86)</f>
        <v>0</v>
      </c>
      <c r="P87" s="299">
        <f>SUM(P84:P86)</f>
        <v>0</v>
      </c>
      <c r="Q87" s="299">
        <f>SUM(Q84:Q86)</f>
        <v>0</v>
      </c>
      <c r="R87" s="299">
        <f>SUM(R84:R86)</f>
        <v>0</v>
      </c>
      <c r="S87" s="299">
        <f>SUM(S84:S86)</f>
        <v>0</v>
      </c>
      <c r="T87" s="300">
        <f>SUM(T84:T85)</f>
        <v>160891</v>
      </c>
      <c r="U87" s="396"/>
    </row>
    <row r="88" spans="1:21" x14ac:dyDescent="0.3">
      <c r="A88" s="64"/>
      <c r="B88" s="396"/>
      <c r="C88" s="12"/>
      <c r="D88" s="12"/>
      <c r="E88" s="12"/>
      <c r="F88" s="12"/>
      <c r="G88" s="115"/>
      <c r="H88" s="89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1"/>
      <c r="U88" s="396"/>
    </row>
    <row r="89" spans="1:21" x14ac:dyDescent="0.3">
      <c r="A89" s="64"/>
      <c r="B89" s="396"/>
      <c r="C89" s="12"/>
      <c r="D89" s="216" t="s">
        <v>159</v>
      </c>
      <c r="E89" s="12"/>
      <c r="F89" s="12"/>
      <c r="G89" s="115"/>
      <c r="H89" s="243">
        <f>H77+H81+H87</f>
        <v>155456</v>
      </c>
      <c r="I89" s="328">
        <f>I77+I81+I87</f>
        <v>-5436</v>
      </c>
      <c r="J89" s="328">
        <f>J77+J81+J87</f>
        <v>-5435</v>
      </c>
      <c r="K89" s="328">
        <f>K77+K81+K87</f>
        <v>-5434</v>
      </c>
      <c r="L89" s="328">
        <f>L77+L81+L87</f>
        <v>-5435</v>
      </c>
      <c r="M89" s="328">
        <f>M77+M81+M87</f>
        <v>-5435</v>
      </c>
      <c r="N89" s="328">
        <f>N77+N81+N87</f>
        <v>-5435</v>
      </c>
      <c r="O89" s="328">
        <f>O77+O81+O87</f>
        <v>-5435</v>
      </c>
      <c r="P89" s="328">
        <f>P77+P81+P87</f>
        <v>-5436</v>
      </c>
      <c r="Q89" s="328">
        <f>Q77+Q81+Q87</f>
        <v>-5434</v>
      </c>
      <c r="R89" s="328">
        <f>R77+R81+R87</f>
        <v>-5436</v>
      </c>
      <c r="S89" s="328">
        <f>S77+S81+S87</f>
        <v>-5434</v>
      </c>
      <c r="T89" s="323">
        <f>T77+T81+T87</f>
        <v>95671</v>
      </c>
      <c r="U89" s="396"/>
    </row>
    <row r="90" spans="1:21" x14ac:dyDescent="0.3">
      <c r="A90" s="64"/>
      <c r="B90" s="396"/>
      <c r="C90" s="12"/>
      <c r="D90" s="216" t="s">
        <v>160</v>
      </c>
      <c r="E90" s="12"/>
      <c r="F90" s="12"/>
      <c r="G90" s="115"/>
      <c r="H90" s="326">
        <v>0</v>
      </c>
      <c r="I90" s="328">
        <f>H91</f>
        <v>155456</v>
      </c>
      <c r="J90" s="328">
        <f>I91</f>
        <v>150020</v>
      </c>
      <c r="K90" s="328">
        <f>J91</f>
        <v>144585</v>
      </c>
      <c r="L90" s="328">
        <f>K91</f>
        <v>139151</v>
      </c>
      <c r="M90" s="328">
        <f>L91</f>
        <v>133716</v>
      </c>
      <c r="N90" s="328">
        <f>M91</f>
        <v>128281</v>
      </c>
      <c r="O90" s="328">
        <f>N91</f>
        <v>122846</v>
      </c>
      <c r="P90" s="328">
        <f>O91</f>
        <v>117411</v>
      </c>
      <c r="Q90" s="328">
        <f>P91</f>
        <v>111975</v>
      </c>
      <c r="R90" s="328">
        <f>Q91</f>
        <v>106541</v>
      </c>
      <c r="S90" s="328">
        <f>R91</f>
        <v>101105</v>
      </c>
      <c r="T90" s="323">
        <f>H90</f>
        <v>0</v>
      </c>
      <c r="U90" s="396"/>
    </row>
    <row r="91" spans="1:21" x14ac:dyDescent="0.3">
      <c r="A91" s="64"/>
      <c r="B91" s="398"/>
      <c r="C91" s="220" t="s">
        <v>161</v>
      </c>
      <c r="D91" s="27"/>
      <c r="E91" s="27"/>
      <c r="F91" s="27"/>
      <c r="G91" s="72"/>
      <c r="H91" s="318">
        <f>SUM(H89:H90)</f>
        <v>155456</v>
      </c>
      <c r="I91" s="299">
        <f>SUM(I89:I90)</f>
        <v>150020</v>
      </c>
      <c r="J91" s="299">
        <f>SUM(J89:J90)</f>
        <v>144585</v>
      </c>
      <c r="K91" s="299">
        <f>SUM(K89:K90)</f>
        <v>139151</v>
      </c>
      <c r="L91" s="299">
        <f>SUM(L89:L90)</f>
        <v>133716</v>
      </c>
      <c r="M91" s="299">
        <f>SUM(M89:M90)</f>
        <v>128281</v>
      </c>
      <c r="N91" s="299">
        <f>SUM(N89:N90)</f>
        <v>122846</v>
      </c>
      <c r="O91" s="299">
        <f>SUM(O89:O90)</f>
        <v>117411</v>
      </c>
      <c r="P91" s="299">
        <f>SUM(P89:P90)</f>
        <v>111975</v>
      </c>
      <c r="Q91" s="299">
        <f>SUM(Q89:Q90)</f>
        <v>106541</v>
      </c>
      <c r="R91" s="299">
        <f>SUM(R89:R90)</f>
        <v>101105</v>
      </c>
      <c r="S91" s="299">
        <f>SUM(S89:S90)</f>
        <v>95671</v>
      </c>
      <c r="T91" s="300">
        <f>SUM(T89:T90)</f>
        <v>95671</v>
      </c>
      <c r="U91" s="396"/>
    </row>
    <row r="92" spans="1:21" x14ac:dyDescent="0.3">
      <c r="A92" s="64"/>
      <c r="B92" s="396"/>
      <c r="C92" s="396"/>
      <c r="D92" s="396"/>
      <c r="E92" s="396"/>
      <c r="F92" s="396"/>
      <c r="G92" s="396"/>
      <c r="H92" s="65"/>
      <c r="I92" s="396"/>
      <c r="J92" s="396"/>
      <c r="K92" s="396"/>
      <c r="L92" s="396"/>
      <c r="M92" s="396"/>
      <c r="N92" s="396"/>
      <c r="O92" s="396"/>
      <c r="P92" s="396"/>
      <c r="Q92" s="396"/>
      <c r="R92" s="396"/>
      <c r="S92" s="396"/>
      <c r="T92" s="396"/>
      <c r="U92" s="396"/>
    </row>
    <row r="100" spans="1:20" x14ac:dyDescent="0.3">
      <c r="A100" s="211" t="s">
        <v>0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spans="1:20" ht="18" x14ac:dyDescent="0.3">
      <c r="A101" s="199" t="s">
        <v>38</v>
      </c>
      <c r="B101" s="449" t="str">
        <f>'Control Center'!F6</f>
        <v/>
      </c>
      <c r="C101" s="450"/>
      <c r="D101" s="450"/>
      <c r="E101" s="450"/>
      <c r="F101" s="450"/>
      <c r="G101" s="450"/>
      <c r="H101" s="450"/>
      <c r="I101" s="450"/>
      <c r="J101" s="450"/>
      <c r="K101" s="450"/>
      <c r="L101" s="450"/>
      <c r="M101" s="450"/>
      <c r="N101" s="450"/>
      <c r="O101" s="450"/>
      <c r="P101" s="450"/>
      <c r="Q101" s="450"/>
      <c r="R101" s="450"/>
      <c r="S101" s="450"/>
      <c r="T101" s="450"/>
    </row>
    <row r="102" spans="1:20" x14ac:dyDescent="0.3">
      <c r="A102" s="64"/>
      <c r="B102" s="396"/>
      <c r="C102" s="396"/>
      <c r="D102" s="396"/>
      <c r="E102" s="39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</row>
    <row r="103" spans="1:20" x14ac:dyDescent="0.3">
      <c r="A103" s="64"/>
      <c r="B103" s="55"/>
      <c r="C103" s="55" t="s">
        <v>32</v>
      </c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</row>
    <row r="104" spans="1:20" x14ac:dyDescent="0.3">
      <c r="A104" s="64"/>
      <c r="B104" s="396"/>
      <c r="C104" s="262" t="str">
        <f>'Formula Audit'!A3</f>
        <v>Figures in USD</v>
      </c>
      <c r="D104" s="21"/>
      <c r="E104" s="21"/>
      <c r="F104" s="12"/>
      <c r="G104" s="396"/>
      <c r="H104" s="396"/>
      <c r="I104" s="396"/>
      <c r="J104" s="396"/>
      <c r="K104" s="396"/>
      <c r="L104" s="396"/>
      <c r="M104" s="396"/>
      <c r="N104" s="396"/>
      <c r="O104" s="396"/>
      <c r="P104" s="396"/>
      <c r="Q104" s="396"/>
      <c r="R104" s="396"/>
      <c r="S104" s="396"/>
      <c r="T104" s="396"/>
    </row>
    <row r="105" spans="1:20" x14ac:dyDescent="0.3">
      <c r="A105" s="67"/>
      <c r="B105" s="397"/>
      <c r="C105" s="83"/>
      <c r="D105" s="83"/>
      <c r="E105" s="213" t="s">
        <v>50</v>
      </c>
      <c r="F105" s="329" t="str">
        <f>'Control Center'!E25</f>
        <v>Central Case</v>
      </c>
      <c r="G105" s="65"/>
      <c r="H105" s="397"/>
      <c r="I105" s="397"/>
      <c r="J105" s="397"/>
      <c r="K105" s="397"/>
      <c r="L105" s="397"/>
      <c r="M105" s="397"/>
      <c r="N105" s="397"/>
      <c r="O105" s="397"/>
      <c r="P105" s="397"/>
      <c r="Q105" s="397"/>
      <c r="R105" s="397"/>
      <c r="S105" s="397"/>
      <c r="T105" s="397"/>
    </row>
    <row r="106" spans="1:20" x14ac:dyDescent="0.3">
      <c r="A106" s="67"/>
      <c r="B106" s="107"/>
      <c r="C106" s="107"/>
      <c r="D106" s="107"/>
      <c r="E106" s="161" t="s">
        <v>162</v>
      </c>
      <c r="F106" s="330">
        <v>365</v>
      </c>
      <c r="G106" s="107"/>
      <c r="H106" s="445">
        <f>'Control Center'!F8</f>
        <v>2025</v>
      </c>
      <c r="I106" s="445"/>
      <c r="J106" s="445"/>
      <c r="K106" s="445"/>
      <c r="L106" s="445"/>
      <c r="M106" s="445"/>
      <c r="N106" s="445"/>
      <c r="O106" s="445"/>
      <c r="P106" s="445"/>
      <c r="Q106" s="445"/>
      <c r="R106" s="445"/>
      <c r="S106" s="445"/>
      <c r="T106" s="107"/>
    </row>
    <row r="107" spans="1:20" x14ac:dyDescent="0.3">
      <c r="A107" s="64"/>
      <c r="B107" s="396"/>
      <c r="C107" s="263" t="s">
        <v>54</v>
      </c>
      <c r="D107" s="8"/>
      <c r="E107" s="8"/>
      <c r="F107" s="8"/>
      <c r="G107" s="396"/>
      <c r="H107" s="361" t="str">
        <f>'Formula Audit'!C41</f>
        <v>January</v>
      </c>
      <c r="I107" s="361" t="str">
        <f>'Formula Audit'!D41</f>
        <v>February</v>
      </c>
      <c r="J107" s="361" t="str">
        <f>'Formula Audit'!E41</f>
        <v>March</v>
      </c>
      <c r="K107" s="361" t="str">
        <f>'Formula Audit'!F41</f>
        <v>April</v>
      </c>
      <c r="L107" s="361" t="str">
        <f>'Formula Audit'!G41</f>
        <v>May</v>
      </c>
      <c r="M107" s="361" t="str">
        <f>'Formula Audit'!H41</f>
        <v>June</v>
      </c>
      <c r="N107" s="361" t="str">
        <f>'Formula Audit'!I41</f>
        <v>July</v>
      </c>
      <c r="O107" s="361" t="str">
        <f>'Formula Audit'!J41</f>
        <v>August</v>
      </c>
      <c r="P107" s="361" t="str">
        <f>'Formula Audit'!K41</f>
        <v>September</v>
      </c>
      <c r="Q107" s="361" t="str">
        <f>'Formula Audit'!L41</f>
        <v>October</v>
      </c>
      <c r="R107" s="361" t="str">
        <f>'Formula Audit'!M41</f>
        <v>November</v>
      </c>
      <c r="S107" s="361" t="str">
        <f>'Formula Audit'!N41</f>
        <v>December</v>
      </c>
      <c r="T107" s="281" t="s">
        <v>2</v>
      </c>
    </row>
    <row r="108" spans="1:20" x14ac:dyDescent="0.3">
      <c r="A108" s="64"/>
      <c r="B108" s="398"/>
      <c r="C108" s="27"/>
      <c r="D108" s="220" t="s">
        <v>119</v>
      </c>
      <c r="E108" s="27"/>
      <c r="F108" s="27"/>
      <c r="G108" s="72"/>
      <c r="H108" s="487">
        <f>'Control Center'!G167</f>
        <v>15549.199566000001</v>
      </c>
      <c r="I108" s="488">
        <f>'Control Center'!H167</f>
        <v>15690.806982000002</v>
      </c>
      <c r="J108" s="488">
        <f>'Control Center'!I167</f>
        <v>15832.414398000001</v>
      </c>
      <c r="K108" s="488">
        <f>'Control Center'!J167</f>
        <v>15974.006547999999</v>
      </c>
      <c r="L108" s="488">
        <f>'Control Center'!K167</f>
        <v>16682.028362000001</v>
      </c>
      <c r="M108" s="488">
        <f>'Control Center'!L167</f>
        <v>16965.227928</v>
      </c>
      <c r="N108" s="488">
        <f>'Control Center'!M167</f>
        <v>16398.813529999999</v>
      </c>
      <c r="O108" s="488">
        <f>'Control Center'!N167</f>
        <v>15974.006547999999</v>
      </c>
      <c r="P108" s="488">
        <f>'Control Center'!O167</f>
        <v>14982.800433999999</v>
      </c>
      <c r="Q108" s="488">
        <f>'Control Center'!P167</f>
        <v>15690.806982000002</v>
      </c>
      <c r="R108" s="488">
        <f>'Control Center'!Q167</f>
        <v>16398.813529999999</v>
      </c>
      <c r="S108" s="488">
        <f>'Control Center'!R167</f>
        <v>16965.227928</v>
      </c>
      <c r="T108" s="489">
        <f>SUM(H108:S108)</f>
        <v>193104.15273599999</v>
      </c>
    </row>
    <row r="109" spans="1:20" x14ac:dyDescent="0.3">
      <c r="A109" s="64"/>
      <c r="B109" s="398"/>
      <c r="C109" s="27"/>
      <c r="D109" s="220" t="s">
        <v>120</v>
      </c>
      <c r="E109" s="27"/>
      <c r="F109" s="27"/>
      <c r="G109" s="72"/>
      <c r="H109" s="487">
        <f>'Control Center'!G179</f>
        <v>16824.425418000003</v>
      </c>
      <c r="I109" s="488">
        <f>'Control Center'!H179</f>
        <v>16977.646386</v>
      </c>
      <c r="J109" s="488">
        <f>'Control Center'!I179</f>
        <v>17130.867354000002</v>
      </c>
      <c r="K109" s="488">
        <f>'Control Center'!J179</f>
        <v>17284.071803999999</v>
      </c>
      <c r="L109" s="488">
        <f>'Control Center'!K179</f>
        <v>18050.160125999999</v>
      </c>
      <c r="M109" s="488">
        <f>'Control Center'!L179</f>
        <v>18356.585543999998</v>
      </c>
      <c r="N109" s="488">
        <f>'Control Center'!M179</f>
        <v>17743.71819</v>
      </c>
      <c r="O109" s="488">
        <f>'Control Center'!N179</f>
        <v>17284.071803999999</v>
      </c>
      <c r="P109" s="488">
        <f>'Control Center'!O179</f>
        <v>16211.574581999999</v>
      </c>
      <c r="Q109" s="488">
        <f>'Control Center'!P179</f>
        <v>16977.646386</v>
      </c>
      <c r="R109" s="488">
        <f>'Control Center'!Q179</f>
        <v>17743.71819</v>
      </c>
      <c r="S109" s="488">
        <f>'Control Center'!R179</f>
        <v>18356.585543999998</v>
      </c>
      <c r="T109" s="489">
        <f>SUM(H109:S109)</f>
        <v>208941.07132800002</v>
      </c>
    </row>
    <row r="110" spans="1:20" x14ac:dyDescent="0.3">
      <c r="A110" s="64"/>
      <c r="B110" s="398"/>
      <c r="C110" s="220" t="s">
        <v>98</v>
      </c>
      <c r="D110" s="27"/>
      <c r="E110" s="27"/>
      <c r="F110" s="27"/>
      <c r="G110" s="72"/>
      <c r="H110" s="490">
        <f>SUM(H108:H109)</f>
        <v>32373.624984000002</v>
      </c>
      <c r="I110" s="491">
        <f>SUM(I108:I109)</f>
        <v>32668.453368000002</v>
      </c>
      <c r="J110" s="491">
        <f>SUM(J108:J109)</f>
        <v>32963.281752000003</v>
      </c>
      <c r="K110" s="491">
        <f>SUM(K108:K109)</f>
        <v>33258.078351999997</v>
      </c>
      <c r="L110" s="491">
        <f>SUM(L108:L109)</f>
        <v>34732.188488</v>
      </c>
      <c r="M110" s="491">
        <f>SUM(M108:M109)</f>
        <v>35321.813471999994</v>
      </c>
      <c r="N110" s="491">
        <f>SUM(N108:N109)</f>
        <v>34142.531719999999</v>
      </c>
      <c r="O110" s="491">
        <f>SUM(O108:O109)</f>
        <v>33258.078351999997</v>
      </c>
      <c r="P110" s="491">
        <f>SUM(P108:P109)</f>
        <v>31194.375015999998</v>
      </c>
      <c r="Q110" s="491">
        <f>SUM(Q108:Q109)</f>
        <v>32668.453368000002</v>
      </c>
      <c r="R110" s="491">
        <f>SUM(R108:R109)</f>
        <v>34142.531719999999</v>
      </c>
      <c r="S110" s="491">
        <f>SUM(S108:S109)</f>
        <v>35321.813471999994</v>
      </c>
      <c r="T110" s="489">
        <f>SUM(T108:T109)</f>
        <v>402045.22406400001</v>
      </c>
    </row>
    <row r="111" spans="1:20" x14ac:dyDescent="0.3">
      <c r="A111" s="64"/>
      <c r="B111" s="396"/>
      <c r="C111" s="12"/>
      <c r="D111" s="12"/>
      <c r="E111" s="12"/>
      <c r="F111" s="12"/>
      <c r="G111" s="115"/>
      <c r="H111" s="42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1"/>
    </row>
    <row r="112" spans="1:20" x14ac:dyDescent="0.3">
      <c r="A112" s="64"/>
      <c r="B112" s="398"/>
      <c r="C112" s="27"/>
      <c r="D112" s="220" t="s">
        <v>57</v>
      </c>
      <c r="E112" s="27"/>
      <c r="F112" s="27"/>
      <c r="G112" s="72"/>
      <c r="H112" s="487">
        <f>'Control Center'!G196</f>
        <v>2382.6684388727431</v>
      </c>
      <c r="I112" s="488">
        <f>'Control Center'!H196</f>
        <v>2404.3675314454108</v>
      </c>
      <c r="J112" s="488">
        <f>'Control Center'!I196</f>
        <v>2426.066624018079</v>
      </c>
      <c r="K112" s="488">
        <f>'Control Center'!J196</f>
        <v>2447.7633773181542</v>
      </c>
      <c r="L112" s="488">
        <f>'Control Center'!K196</f>
        <v>2556.2565009089012</v>
      </c>
      <c r="M112" s="488">
        <f>'Control Center'!L196</f>
        <v>2599.6523467816437</v>
      </c>
      <c r="N112" s="488">
        <f>'Control Center'!M196</f>
        <v>2512.8583157635653</v>
      </c>
      <c r="O112" s="488">
        <f>'Control Center'!N196</f>
        <v>2447.7633773181542</v>
      </c>
      <c r="P112" s="488">
        <f>'Control Center'!O196</f>
        <v>2295.8767471272572</v>
      </c>
      <c r="Q112" s="488">
        <f>'Control Center'!P196</f>
        <v>2404.3675314454108</v>
      </c>
      <c r="R112" s="488">
        <f>'Control Center'!Q196</f>
        <v>2512.8583157635653</v>
      </c>
      <c r="S112" s="488">
        <f>'Control Center'!R196</f>
        <v>2599.6523467816437</v>
      </c>
      <c r="T112" s="489">
        <f>SUM(H112:S112)</f>
        <v>29590.151453544535</v>
      </c>
    </row>
    <row r="113" spans="1:20" x14ac:dyDescent="0.3">
      <c r="A113" s="64"/>
      <c r="B113" s="398"/>
      <c r="C113" s="27"/>
      <c r="D113" s="220" t="s">
        <v>59</v>
      </c>
      <c r="E113" s="27"/>
      <c r="F113" s="27"/>
      <c r="G113" s="72"/>
      <c r="H113" s="487">
        <f>'Control Center'!G208</f>
        <v>4953.0105371752707</v>
      </c>
      <c r="I113" s="488">
        <f>'Control Center'!H208</f>
        <v>4998.1178766632665</v>
      </c>
      <c r="J113" s="488">
        <f>'Control Center'!I208</f>
        <v>5043.2252161512642</v>
      </c>
      <c r="K113" s="488">
        <f>'Control Center'!J208</f>
        <v>5088.3276928385385</v>
      </c>
      <c r="L113" s="488">
        <f>'Control Center'!K208</f>
        <v>5313.8595274777972</v>
      </c>
      <c r="M113" s="488">
        <f>'Control Center'!L208</f>
        <v>5404.0693436530682</v>
      </c>
      <c r="N113" s="488">
        <f>'Control Center'!M208</f>
        <v>5223.6448485018063</v>
      </c>
      <c r="O113" s="488">
        <f>'Control Center'!N208</f>
        <v>5088.3276928385385</v>
      </c>
      <c r="P113" s="488">
        <f>'Control Center'!O208</f>
        <v>4772.5909048247286</v>
      </c>
      <c r="Q113" s="488">
        <f>'Control Center'!P208</f>
        <v>4998.1178766632665</v>
      </c>
      <c r="R113" s="488">
        <f>'Control Center'!Q208</f>
        <v>5223.6448485018063</v>
      </c>
      <c r="S113" s="488">
        <f>'Control Center'!R208</f>
        <v>5404.0693436530682</v>
      </c>
      <c r="T113" s="489">
        <f>SUM(H113:S113)</f>
        <v>61511.005708942423</v>
      </c>
    </row>
    <row r="114" spans="1:20" x14ac:dyDescent="0.3">
      <c r="A114" s="64"/>
      <c r="B114" s="396"/>
      <c r="C114" s="12"/>
      <c r="D114" s="216" t="s">
        <v>61</v>
      </c>
      <c r="E114" s="12"/>
      <c r="F114" s="12"/>
      <c r="G114" s="115"/>
      <c r="H114" s="492">
        <f>'Control Center'!$G$31*H110</f>
        <v>6166.1719770774962</v>
      </c>
      <c r="I114" s="493">
        <f>'Control Center'!$G$31*I110</f>
        <v>6222.3276445495922</v>
      </c>
      <c r="J114" s="493">
        <f>'Control Center'!$G$31*J110</f>
        <v>6278.4833120216881</v>
      </c>
      <c r="K114" s="493">
        <f>'Control Center'!$G$31*K110</f>
        <v>6334.6329256270874</v>
      </c>
      <c r="L114" s="493">
        <f>'Control Center'!$G$31*L110</f>
        <v>6615.4052091208723</v>
      </c>
      <c r="M114" s="493">
        <f>'Control Center'!$G$31*M110</f>
        <v>6727.7104901983666</v>
      </c>
      <c r="N114" s="493">
        <f>'Control Center'!$G$31*N110</f>
        <v>6503.0938741766795</v>
      </c>
      <c r="O114" s="493">
        <f>'Control Center'!$G$31*O110</f>
        <v>6334.6329256270874</v>
      </c>
      <c r="P114" s="493">
        <f>'Control Center'!$G$31*P110</f>
        <v>5941.5614149225039</v>
      </c>
      <c r="Q114" s="493">
        <f>'Control Center'!$G$31*Q110</f>
        <v>6222.3276445495922</v>
      </c>
      <c r="R114" s="493">
        <f>'Control Center'!$G$31*R110</f>
        <v>6503.0938741766795</v>
      </c>
      <c r="S114" s="493">
        <f>'Control Center'!$G$31*S110</f>
        <v>6727.7104901983666</v>
      </c>
      <c r="T114" s="494">
        <f>SUM(H114:S114)</f>
        <v>76577.151782246016</v>
      </c>
    </row>
    <row r="115" spans="1:20" x14ac:dyDescent="0.3">
      <c r="A115" s="64"/>
      <c r="B115" s="396"/>
      <c r="C115" s="12"/>
      <c r="D115" s="216" t="s">
        <v>63</v>
      </c>
      <c r="E115" s="12"/>
      <c r="F115" s="12"/>
      <c r="G115" s="115"/>
      <c r="H115" s="492">
        <f>'Control Center'!$G$32*H110</f>
        <v>4441.4347324299124</v>
      </c>
      <c r="I115" s="493">
        <f>'Control Center'!$G$32*I110</f>
        <v>4481.8831229160251</v>
      </c>
      <c r="J115" s="493">
        <f>'Control Center'!$G$32*J110</f>
        <v>4522.3315134021368</v>
      </c>
      <c r="K115" s="493">
        <f>'Control Center'!$G$32*K110</f>
        <v>4562.7755433459361</v>
      </c>
      <c r="L115" s="493">
        <f>'Control Center'!$G$32*L110</f>
        <v>4765.0131352341841</v>
      </c>
      <c r="M115" s="493">
        <f>'Control Center'!$G$32*M110</f>
        <v>4845.9055556640951</v>
      </c>
      <c r="N115" s="493">
        <f>'Control Center'!$G$32*N110</f>
        <v>4684.1163542619606</v>
      </c>
      <c r="O115" s="493">
        <f>'Control Center'!$G$32*O110</f>
        <v>4562.7755433459361</v>
      </c>
      <c r="P115" s="493">
        <f>'Control Center'!$G$32*P110</f>
        <v>4279.6498915700877</v>
      </c>
      <c r="Q115" s="493">
        <f>'Control Center'!$G$32*Q110</f>
        <v>4481.8831229160251</v>
      </c>
      <c r="R115" s="493">
        <f>'Control Center'!$G$32*R110</f>
        <v>4684.1163542619606</v>
      </c>
      <c r="S115" s="493">
        <f>'Control Center'!$G$32*S110</f>
        <v>4845.9055556640951</v>
      </c>
      <c r="T115" s="494">
        <f>SUM(H115:S115)</f>
        <v>55157.790425012361</v>
      </c>
    </row>
    <row r="116" spans="1:20" x14ac:dyDescent="0.3">
      <c r="A116" s="64"/>
      <c r="B116" s="398"/>
      <c r="C116" s="220" t="s">
        <v>121</v>
      </c>
      <c r="D116" s="27"/>
      <c r="E116" s="27"/>
      <c r="F116" s="27"/>
      <c r="G116" s="72"/>
      <c r="H116" s="490">
        <f>SUM(H112:H115)</f>
        <v>17943.28568555542</v>
      </c>
      <c r="I116" s="491">
        <f>SUM(I112:I115)</f>
        <v>18106.696175574296</v>
      </c>
      <c r="J116" s="491">
        <f>SUM(J112:J115)</f>
        <v>18270.106665593168</v>
      </c>
      <c r="K116" s="491">
        <f>SUM(K112:K115)</f>
        <v>18433.499539129716</v>
      </c>
      <c r="L116" s="491">
        <f>SUM(L112:L115)</f>
        <v>19250.534372741757</v>
      </c>
      <c r="M116" s="491">
        <f>SUM(M112:M115)</f>
        <v>19577.337736297173</v>
      </c>
      <c r="N116" s="491">
        <f>SUM(N112:N115)</f>
        <v>18923.713392704012</v>
      </c>
      <c r="O116" s="491">
        <f>SUM(O112:O115)</f>
        <v>18433.499539129716</v>
      </c>
      <c r="P116" s="491">
        <f>SUM(P112:P115)</f>
        <v>17289.678958444576</v>
      </c>
      <c r="Q116" s="491">
        <f>SUM(Q112:Q115)</f>
        <v>18106.696175574296</v>
      </c>
      <c r="R116" s="491">
        <f>SUM(R112:R115)</f>
        <v>18923.713392704012</v>
      </c>
      <c r="S116" s="491">
        <f>SUM(S112:S115)</f>
        <v>19577.337736297173</v>
      </c>
      <c r="T116" s="489">
        <f>SUM(T112:T115)</f>
        <v>222836.09936974532</v>
      </c>
    </row>
    <row r="117" spans="1:20" x14ac:dyDescent="0.3">
      <c r="A117" s="64"/>
      <c r="B117" s="396"/>
      <c r="C117" s="12"/>
      <c r="D117" s="12"/>
      <c r="E117" s="12"/>
      <c r="F117" s="12"/>
      <c r="G117" s="115"/>
      <c r="H117" s="42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1"/>
    </row>
    <row r="118" spans="1:20" x14ac:dyDescent="0.3">
      <c r="A118" s="64"/>
      <c r="B118" s="398"/>
      <c r="C118" s="220" t="s">
        <v>122</v>
      </c>
      <c r="D118" s="27"/>
      <c r="E118" s="27"/>
      <c r="F118" s="27"/>
      <c r="G118" s="72"/>
      <c r="H118" s="490">
        <f>H110-H116</f>
        <v>14430.339298444582</v>
      </c>
      <c r="I118" s="491">
        <f>I110-I116</f>
        <v>14561.757192425706</v>
      </c>
      <c r="J118" s="491">
        <f>J110-J116</f>
        <v>14693.175086406834</v>
      </c>
      <c r="K118" s="491">
        <f>K110-K116</f>
        <v>14824.578812870281</v>
      </c>
      <c r="L118" s="491">
        <f>L110-L116</f>
        <v>15481.654115258243</v>
      </c>
      <c r="M118" s="491">
        <f>M110-M116</f>
        <v>15744.475735702821</v>
      </c>
      <c r="N118" s="491">
        <f>N110-N116</f>
        <v>15218.818327295987</v>
      </c>
      <c r="O118" s="491">
        <f>O110-O116</f>
        <v>14824.578812870281</v>
      </c>
      <c r="P118" s="491">
        <f>P110-P116</f>
        <v>13904.696057555422</v>
      </c>
      <c r="Q118" s="491">
        <f>Q110-Q116</f>
        <v>14561.757192425706</v>
      </c>
      <c r="R118" s="491">
        <f>R110-R116</f>
        <v>15218.818327295987</v>
      </c>
      <c r="S118" s="491">
        <f>S110-S116</f>
        <v>15744.475735702821</v>
      </c>
      <c r="T118" s="489">
        <f>T110-T116</f>
        <v>179209.12469425469</v>
      </c>
    </row>
    <row r="119" spans="1:20" x14ac:dyDescent="0.3">
      <c r="A119" s="156"/>
      <c r="B119" s="400"/>
      <c r="C119" s="319" t="s">
        <v>123</v>
      </c>
      <c r="D119" s="157"/>
      <c r="E119" s="157"/>
      <c r="F119" s="157"/>
      <c r="G119" s="158"/>
      <c r="H119" s="495">
        <f>IFERROR(H118/H110,0)</f>
        <v>0.44574369739491576</v>
      </c>
      <c r="I119" s="496">
        <f>IFERROR(I118/I110,0)</f>
        <v>0.44574369739491565</v>
      </c>
      <c r="J119" s="496">
        <f>IFERROR(J118/J110,0)</f>
        <v>0.44574369739491565</v>
      </c>
      <c r="K119" s="496">
        <f>IFERROR(K118/K110,0)</f>
        <v>0.44574369739491565</v>
      </c>
      <c r="L119" s="496">
        <f>IFERROR(L118/L110,0)</f>
        <v>0.44574369739491559</v>
      </c>
      <c r="M119" s="496">
        <f>IFERROR(M118/M110,0)</f>
        <v>0.44574369739491565</v>
      </c>
      <c r="N119" s="496">
        <f>IFERROR(N118/N110,0)</f>
        <v>0.44574369739491559</v>
      </c>
      <c r="O119" s="496">
        <f>IFERROR(O118/O110,0)</f>
        <v>0.44574369739491565</v>
      </c>
      <c r="P119" s="496">
        <f>IFERROR(P118/P110,0)</f>
        <v>0.44574369739491571</v>
      </c>
      <c r="Q119" s="496">
        <f>IFERROR(Q118/Q110,0)</f>
        <v>0.44574369739491565</v>
      </c>
      <c r="R119" s="496">
        <f>IFERROR(R118/R110,0)</f>
        <v>0.44574369739491559</v>
      </c>
      <c r="S119" s="496">
        <f>IFERROR(S118/S110,0)</f>
        <v>0.44574369739491565</v>
      </c>
      <c r="T119" s="497">
        <f>IFERROR(T118/T110,0)</f>
        <v>0.44574369739491565</v>
      </c>
    </row>
    <row r="120" spans="1:20" x14ac:dyDescent="0.3">
      <c r="A120" s="64"/>
      <c r="B120" s="396"/>
      <c r="C120" s="12"/>
      <c r="D120" s="12"/>
      <c r="E120" s="12"/>
      <c r="F120" s="12"/>
      <c r="G120" s="115"/>
      <c r="H120" s="42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1"/>
    </row>
    <row r="121" spans="1:20" x14ac:dyDescent="0.3">
      <c r="A121" s="64"/>
      <c r="B121" s="396"/>
      <c r="C121" s="12"/>
      <c r="D121" s="216" t="s">
        <v>64</v>
      </c>
      <c r="E121" s="12"/>
      <c r="F121" s="12"/>
      <c r="G121" s="115"/>
      <c r="H121" s="492">
        <f>'Control Center'!$G$33/12</f>
        <v>4895.75</v>
      </c>
      <c r="I121" s="493">
        <f>'Control Center'!$G$33/12</f>
        <v>4895.75</v>
      </c>
      <c r="J121" s="493">
        <f>'Control Center'!$G$33/12</f>
        <v>4895.75</v>
      </c>
      <c r="K121" s="493">
        <f>'Control Center'!$G$33/12</f>
        <v>4895.75</v>
      </c>
      <c r="L121" s="493">
        <f>'Control Center'!$G$33/12</f>
        <v>4895.75</v>
      </c>
      <c r="M121" s="493">
        <f>'Control Center'!$G$33/12</f>
        <v>4895.75</v>
      </c>
      <c r="N121" s="493">
        <f>'Control Center'!$G$33/12</f>
        <v>4895.75</v>
      </c>
      <c r="O121" s="493">
        <f>'Control Center'!$G$33/12</f>
        <v>4895.75</v>
      </c>
      <c r="P121" s="493">
        <f>'Control Center'!$G$33/12</f>
        <v>4895.75</v>
      </c>
      <c r="Q121" s="493">
        <f>'Control Center'!$G$33/12</f>
        <v>4895.75</v>
      </c>
      <c r="R121" s="493">
        <f>'Control Center'!$G$33/12</f>
        <v>4895.75</v>
      </c>
      <c r="S121" s="493">
        <f>'Control Center'!$G$33/12</f>
        <v>4895.75</v>
      </c>
      <c r="T121" s="494">
        <f>SUM(H121:S121)</f>
        <v>58749</v>
      </c>
    </row>
    <row r="122" spans="1:20" x14ac:dyDescent="0.3">
      <c r="A122" s="64"/>
      <c r="B122" s="396"/>
      <c r="C122" s="12"/>
      <c r="D122" s="216" t="s">
        <v>65</v>
      </c>
      <c r="E122" s="12"/>
      <c r="F122" s="12"/>
      <c r="G122" s="115"/>
      <c r="H122" s="492">
        <f>'Control Center'!$G$34*H110</f>
        <v>1476.0430575204962</v>
      </c>
      <c r="I122" s="493">
        <f>'Control Center'!$G$34*I110</f>
        <v>1489.4854628605922</v>
      </c>
      <c r="J122" s="493">
        <f>'Control Center'!$G$34*J110</f>
        <v>1502.9278682006882</v>
      </c>
      <c r="K122" s="493">
        <f>'Control Center'!$G$34*K110</f>
        <v>1516.368824381088</v>
      </c>
      <c r="L122" s="493">
        <f>'Control Center'!$G$34*L110</f>
        <v>1583.579401921872</v>
      </c>
      <c r="M122" s="493">
        <f>'Control Center'!$G$34*M110</f>
        <v>1610.4627634423678</v>
      </c>
      <c r="N122" s="493">
        <f>'Control Center'!$G$34*N110</f>
        <v>1556.69459124168</v>
      </c>
      <c r="O122" s="493">
        <f>'Control Center'!$G$34*O110</f>
        <v>1516.368824381088</v>
      </c>
      <c r="P122" s="493">
        <f>'Control Center'!$G$34*P110</f>
        <v>1422.2763344795039</v>
      </c>
      <c r="Q122" s="493">
        <f>'Control Center'!$G$34*Q110</f>
        <v>1489.4854628605922</v>
      </c>
      <c r="R122" s="493">
        <f>'Control Center'!$G$34*R110</f>
        <v>1556.69459124168</v>
      </c>
      <c r="S122" s="493">
        <f>'Control Center'!$G$34*S110</f>
        <v>1610.4627634423678</v>
      </c>
      <c r="T122" s="494">
        <f>SUM(H122:S122)</f>
        <v>18330.849945974016</v>
      </c>
    </row>
    <row r="123" spans="1:20" x14ac:dyDescent="0.3">
      <c r="A123" s="64"/>
      <c r="B123" s="396"/>
      <c r="C123" s="12"/>
      <c r="D123" s="216" t="s">
        <v>66</v>
      </c>
      <c r="E123" s="12"/>
      <c r="F123" s="12"/>
      <c r="G123" s="115"/>
      <c r="H123" s="492">
        <f>'Control Center'!$G$35/12</f>
        <v>2844.5833333333335</v>
      </c>
      <c r="I123" s="493">
        <f>'Control Center'!$G$35/12</f>
        <v>2844.5833333333335</v>
      </c>
      <c r="J123" s="493">
        <f>'Control Center'!$G$35/12</f>
        <v>2844.5833333333335</v>
      </c>
      <c r="K123" s="493">
        <f>'Control Center'!$G$35/12</f>
        <v>2844.5833333333335</v>
      </c>
      <c r="L123" s="493">
        <f>'Control Center'!$G$35/12</f>
        <v>2844.5833333333335</v>
      </c>
      <c r="M123" s="493">
        <f>'Control Center'!$G$35/12</f>
        <v>2844.5833333333335</v>
      </c>
      <c r="N123" s="493">
        <f>'Control Center'!$G$35/12</f>
        <v>2844.5833333333335</v>
      </c>
      <c r="O123" s="493">
        <f>'Control Center'!$G$35/12</f>
        <v>2844.5833333333335</v>
      </c>
      <c r="P123" s="493">
        <f>'Control Center'!$G$35/12</f>
        <v>2844.5833333333335</v>
      </c>
      <c r="Q123" s="493">
        <f>'Control Center'!$G$35/12</f>
        <v>2844.5833333333335</v>
      </c>
      <c r="R123" s="493">
        <f>'Control Center'!$G$35/12</f>
        <v>2844.5833333333335</v>
      </c>
      <c r="S123" s="493">
        <f>'Control Center'!$G$35/12</f>
        <v>2844.5833333333335</v>
      </c>
      <c r="T123" s="494">
        <f>SUM(H123:S123)</f>
        <v>34134.999999999993</v>
      </c>
    </row>
    <row r="124" spans="1:20" x14ac:dyDescent="0.3">
      <c r="A124" s="64"/>
      <c r="B124" s="396"/>
      <c r="C124" s="12"/>
      <c r="D124" s="216" t="s">
        <v>67</v>
      </c>
      <c r="E124" s="12"/>
      <c r="F124" s="12"/>
      <c r="G124" s="115"/>
      <c r="H124" s="492">
        <f>'Control Center'!$G$36*H110</f>
        <v>228.36355063713603</v>
      </c>
      <c r="I124" s="493">
        <f>'Control Center'!$G$36*I110</f>
        <v>230.44327005787204</v>
      </c>
      <c r="J124" s="493">
        <f>'Control Center'!$G$36*J110</f>
        <v>232.52298947860803</v>
      </c>
      <c r="K124" s="493">
        <f>'Control Center'!$G$36*K110</f>
        <v>234.602484695008</v>
      </c>
      <c r="L124" s="493">
        <f>'Control Center'!$G$36*L110</f>
        <v>245.000857594352</v>
      </c>
      <c r="M124" s="493">
        <f>'Control Center'!$G$36*M110</f>
        <v>249.16007223148799</v>
      </c>
      <c r="N124" s="493">
        <f>'Control Center'!$G$36*N110</f>
        <v>240.84141875288</v>
      </c>
      <c r="O124" s="493">
        <f>'Control Center'!$G$36*O110</f>
        <v>234.602484695008</v>
      </c>
      <c r="P124" s="493">
        <f>'Control Center'!$G$36*P110</f>
        <v>220.04512136286399</v>
      </c>
      <c r="Q124" s="493">
        <f>'Control Center'!$G$36*Q110</f>
        <v>230.44327005787204</v>
      </c>
      <c r="R124" s="493">
        <f>'Control Center'!$G$36*R110</f>
        <v>240.84141875288</v>
      </c>
      <c r="S124" s="493">
        <f>'Control Center'!$G$36*S110</f>
        <v>249.16007223148799</v>
      </c>
      <c r="T124" s="494">
        <f>SUM(H124:S124)</f>
        <v>2836.027010547456</v>
      </c>
    </row>
    <row r="125" spans="1:20" x14ac:dyDescent="0.3">
      <c r="A125" s="64"/>
      <c r="B125" s="398"/>
      <c r="C125" s="27"/>
      <c r="D125" s="220" t="s">
        <v>68</v>
      </c>
      <c r="E125" s="27"/>
      <c r="F125" s="27"/>
      <c r="G125" s="72"/>
      <c r="H125" s="487">
        <f>'Control Center'!$G$37*(('Control Center'!$G$43+'Control Center'!$G$46)/12)</f>
        <v>721.67409700000007</v>
      </c>
      <c r="I125" s="490">
        <f>H125</f>
        <v>721.67409700000007</v>
      </c>
      <c r="J125" s="490">
        <f>I125</f>
        <v>721.67409700000007</v>
      </c>
      <c r="K125" s="490">
        <f>J125</f>
        <v>721.67409700000007</v>
      </c>
      <c r="L125" s="490">
        <f>K125</f>
        <v>721.67409700000007</v>
      </c>
      <c r="M125" s="490">
        <f>L125</f>
        <v>721.67409700000007</v>
      </c>
      <c r="N125" s="490">
        <f>M125</f>
        <v>721.67409700000007</v>
      </c>
      <c r="O125" s="490">
        <f>N125</f>
        <v>721.67409700000007</v>
      </c>
      <c r="P125" s="490">
        <f>O125</f>
        <v>721.67409700000007</v>
      </c>
      <c r="Q125" s="490">
        <f>P125</f>
        <v>721.67409700000007</v>
      </c>
      <c r="R125" s="490">
        <f>Q125</f>
        <v>721.67409700000007</v>
      </c>
      <c r="S125" s="490">
        <f>R125</f>
        <v>721.67409700000007</v>
      </c>
      <c r="T125" s="489">
        <f>SUM(H125:S125)</f>
        <v>8660.0891640000009</v>
      </c>
    </row>
    <row r="126" spans="1:20" x14ac:dyDescent="0.3">
      <c r="A126" s="64"/>
      <c r="B126" s="398"/>
      <c r="C126" s="220" t="s">
        <v>124</v>
      </c>
      <c r="D126" s="27"/>
      <c r="E126" s="27"/>
      <c r="F126" s="27"/>
      <c r="G126" s="72"/>
      <c r="H126" s="490">
        <f>SUM(H121:H125)</f>
        <v>10166.414038490966</v>
      </c>
      <c r="I126" s="491">
        <f>SUM(I121:I125)</f>
        <v>10181.936163251798</v>
      </c>
      <c r="J126" s="491">
        <f>SUM(J121:J125)</f>
        <v>10197.458288012629</v>
      </c>
      <c r="K126" s="491">
        <f>SUM(K121:K125)</f>
        <v>10212.978739409431</v>
      </c>
      <c r="L126" s="491">
        <f>SUM(L121:L125)</f>
        <v>10290.587689849559</v>
      </c>
      <c r="M126" s="491">
        <f>SUM(M121:M125)</f>
        <v>10321.630266007189</v>
      </c>
      <c r="N126" s="491">
        <f>SUM(N121:N125)</f>
        <v>10259.543440327892</v>
      </c>
      <c r="O126" s="491">
        <f>SUM(O121:O125)</f>
        <v>10212.978739409431</v>
      </c>
      <c r="P126" s="491">
        <f>SUM(P121:P125)</f>
        <v>10104.328886175703</v>
      </c>
      <c r="Q126" s="491">
        <f>SUM(Q121:Q125)</f>
        <v>10181.936163251798</v>
      </c>
      <c r="R126" s="491">
        <f>SUM(R121:R125)</f>
        <v>10259.543440327892</v>
      </c>
      <c r="S126" s="491">
        <f>SUM(S121:S125)</f>
        <v>10321.630266007189</v>
      </c>
      <c r="T126" s="489">
        <f>SUM(T121:T125)</f>
        <v>122710.96612052148</v>
      </c>
    </row>
    <row r="127" spans="1:20" x14ac:dyDescent="0.3">
      <c r="A127" s="64"/>
      <c r="B127" s="396"/>
      <c r="C127" s="12"/>
      <c r="D127" s="12"/>
      <c r="E127" s="12"/>
      <c r="F127" s="12"/>
      <c r="G127" s="115"/>
      <c r="H127" s="42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1"/>
    </row>
    <row r="128" spans="1:20" x14ac:dyDescent="0.3">
      <c r="A128" s="64"/>
      <c r="B128" s="396"/>
      <c r="C128" s="216" t="s">
        <v>125</v>
      </c>
      <c r="D128" s="12"/>
      <c r="E128" s="12"/>
      <c r="F128" s="12"/>
      <c r="G128" s="115"/>
      <c r="H128" s="498">
        <f>H118-H126</f>
        <v>4263.9252599536158</v>
      </c>
      <c r="I128" s="499">
        <f>I118-I126</f>
        <v>4379.8210291739088</v>
      </c>
      <c r="J128" s="499">
        <f>J118-J126</f>
        <v>4495.7167983942054</v>
      </c>
      <c r="K128" s="499">
        <f>K118-K126</f>
        <v>4611.6000734608497</v>
      </c>
      <c r="L128" s="499">
        <f>L118-L126</f>
        <v>5191.0664254086842</v>
      </c>
      <c r="M128" s="499">
        <f>M118-M126</f>
        <v>5422.8454696956323</v>
      </c>
      <c r="N128" s="499">
        <f>N118-N126</f>
        <v>4959.2748869680945</v>
      </c>
      <c r="O128" s="499">
        <f>O118-O126</f>
        <v>4611.6000734608497</v>
      </c>
      <c r="P128" s="499">
        <f>P118-P126</f>
        <v>3800.3671713797194</v>
      </c>
      <c r="Q128" s="499">
        <f>Q118-Q126</f>
        <v>4379.8210291739088</v>
      </c>
      <c r="R128" s="499">
        <f>R118-R126</f>
        <v>4959.2748869680945</v>
      </c>
      <c r="S128" s="499">
        <f>S118-S126</f>
        <v>5422.8454696956323</v>
      </c>
      <c r="T128" s="494">
        <f>T118-T126</f>
        <v>56498.158573733206</v>
      </c>
    </row>
    <row r="129" spans="1:20" x14ac:dyDescent="0.3">
      <c r="A129" s="64"/>
      <c r="B129" s="396"/>
      <c r="C129" s="216" t="s">
        <v>126</v>
      </c>
      <c r="D129" s="12"/>
      <c r="E129" s="12"/>
      <c r="F129" s="12"/>
      <c r="G129" s="115"/>
      <c r="H129" s="495">
        <f>IFERROR(H128/H110,0)</f>
        <v>0.13170984905338753</v>
      </c>
      <c r="I129" s="496">
        <f>IFERROR(I128/I110,0)</f>
        <v>0.13406882106834328</v>
      </c>
      <c r="J129" s="496">
        <f>IFERROR(J128/J110,0)</f>
        <v>0.13638559510602835</v>
      </c>
      <c r="K129" s="496">
        <f>IFERROR(K128/K110,0)</f>
        <v>0.1386610502462638</v>
      </c>
      <c r="L129" s="496">
        <f>IFERROR(L128/L110,0)</f>
        <v>0.14945981383241089</v>
      </c>
      <c r="M129" s="496">
        <f>IFERROR(M128/M110,0)</f>
        <v>0.15352681350843958</v>
      </c>
      <c r="N129" s="496">
        <f>IFERROR(N128/N110,0)</f>
        <v>0.14525211333590274</v>
      </c>
      <c r="O129" s="496">
        <f>IFERROR(O128/O110,0)</f>
        <v>0.1386610502462638</v>
      </c>
      <c r="P129" s="496">
        <f>IFERROR(P128/P110,0)</f>
        <v>0.12182860433749552</v>
      </c>
      <c r="Q129" s="496">
        <f>IFERROR(Q128/Q110,0)</f>
        <v>0.13406882106834328</v>
      </c>
      <c r="R129" s="496">
        <f>IFERROR(R128/R110,0)</f>
        <v>0.14525211333590274</v>
      </c>
      <c r="S129" s="496">
        <f>IFERROR(S128/S110,0)</f>
        <v>0.15352681350843958</v>
      </c>
      <c r="T129" s="497">
        <f>IFERROR(T128/T110,0)</f>
        <v>0.14052687407310049</v>
      </c>
    </row>
    <row r="130" spans="1:20" x14ac:dyDescent="0.3">
      <c r="A130" s="64"/>
      <c r="B130" s="396"/>
      <c r="C130" s="12"/>
      <c r="D130" s="12"/>
      <c r="E130" s="12"/>
      <c r="F130" s="12"/>
      <c r="G130" s="115"/>
      <c r="H130" s="42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1"/>
    </row>
    <row r="131" spans="1:20" x14ac:dyDescent="0.3">
      <c r="A131" s="95"/>
      <c r="B131" s="401"/>
      <c r="C131" s="97"/>
      <c r="D131" s="325" t="s">
        <v>127</v>
      </c>
      <c r="E131" s="97"/>
      <c r="F131" s="97"/>
      <c r="G131" s="115"/>
      <c r="H131" s="492">
        <f>'Control Center'!$G$49*(('Control Center'!$G$49*(('Control Center'!$G$50)/12)+H156)/12)</f>
        <v>371.20741328816666</v>
      </c>
      <c r="I131" s="492">
        <f>'Control Center'!$G$49*((H131+I156)/12)</f>
        <v>368.80238871602978</v>
      </c>
      <c r="J131" s="492">
        <f>'Control Center'!$G$49*((I131+J156)/12)</f>
        <v>366.38712727881557</v>
      </c>
      <c r="K131" s="492">
        <f>'Control Center'!$G$49*((J131+K156)/12)</f>
        <v>363.9718121492441</v>
      </c>
      <c r="L131" s="492">
        <f>'Control Center'!$G$49*((K131+L156)/12)</f>
        <v>361.55649673805624</v>
      </c>
      <c r="M131" s="492">
        <f>'Control Center'!$G$49*((L131+M156)/12)</f>
        <v>359.14118132539124</v>
      </c>
      <c r="N131" s="492">
        <f>'Control Center'!$G$49*((M131+N156)/12)</f>
        <v>356.72586591271852</v>
      </c>
      <c r="O131" s="492">
        <f>'Control Center'!$G$49*((N131+O156)/12)</f>
        <v>354.31055050004574</v>
      </c>
      <c r="P131" s="492">
        <f>'Control Center'!$G$49*((O131+P156)/12)</f>
        <v>351.89523508737295</v>
      </c>
      <c r="Q131" s="492">
        <f>'Control Center'!$G$49*((P131+Q156)/12)</f>
        <v>349.47991967470017</v>
      </c>
      <c r="R131" s="492">
        <f>'Control Center'!$G$49*((Q131+R156)/12)</f>
        <v>347.06460426202744</v>
      </c>
      <c r="S131" s="492">
        <f>'Control Center'!$G$49*((R131+S156)/12)</f>
        <v>344.6492888493546</v>
      </c>
      <c r="T131" s="500">
        <f>SUM(H131:S131)</f>
        <v>4295.191883781923</v>
      </c>
    </row>
    <row r="132" spans="1:20" x14ac:dyDescent="0.3">
      <c r="A132" s="64"/>
      <c r="B132" s="396"/>
      <c r="C132" s="216" t="s">
        <v>128</v>
      </c>
      <c r="D132" s="12"/>
      <c r="E132" s="12"/>
      <c r="F132" s="12"/>
      <c r="G132" s="115"/>
      <c r="H132" s="501">
        <f>H128-H131</f>
        <v>3892.7178466654491</v>
      </c>
      <c r="I132" s="502">
        <f>I128-I131</f>
        <v>4011.018640457879</v>
      </c>
      <c r="J132" s="502">
        <f>J128-J131</f>
        <v>4129.3296711153898</v>
      </c>
      <c r="K132" s="502">
        <f>K128-K131</f>
        <v>4247.6282613116055</v>
      </c>
      <c r="L132" s="502">
        <f>L128-L131</f>
        <v>4829.5099286706281</v>
      </c>
      <c r="M132" s="502">
        <f>M128-M131</f>
        <v>5063.7042883702416</v>
      </c>
      <c r="N132" s="502">
        <f>N128-N131</f>
        <v>4602.5490210553762</v>
      </c>
      <c r="O132" s="502">
        <f>O128-O131</f>
        <v>4257.2895229608039</v>
      </c>
      <c r="P132" s="502">
        <f>P128-P131</f>
        <v>3448.4719362923465</v>
      </c>
      <c r="Q132" s="502">
        <f>Q128-Q131</f>
        <v>4030.3411094992084</v>
      </c>
      <c r="R132" s="502">
        <f>R128-R131</f>
        <v>4612.2102827060671</v>
      </c>
      <c r="S132" s="502">
        <f>S128-S131</f>
        <v>5078.1961808462775</v>
      </c>
      <c r="T132" s="494">
        <f>T128-T131</f>
        <v>52202.966689951281</v>
      </c>
    </row>
    <row r="133" spans="1:20" x14ac:dyDescent="0.3">
      <c r="A133" s="64"/>
      <c r="B133" s="396"/>
      <c r="C133" s="12"/>
      <c r="D133" s="12"/>
      <c r="E133" s="12"/>
      <c r="F133" s="12"/>
      <c r="G133" s="115"/>
      <c r="H133" s="42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1"/>
    </row>
    <row r="134" spans="1:20" x14ac:dyDescent="0.3">
      <c r="A134" s="64"/>
      <c r="B134" s="396"/>
      <c r="C134" s="12"/>
      <c r="D134" s="216" t="s">
        <v>129</v>
      </c>
      <c r="E134" s="12"/>
      <c r="F134" s="12"/>
      <c r="G134" s="115"/>
      <c r="H134" s="492">
        <f>IF(H132&gt;0,'Control Center'!$G$38*H132,0)</f>
        <v>1030.9240382037976</v>
      </c>
      <c r="I134" s="492">
        <f>IF(I132&gt;0,'Control Center'!$G$38*I132,0)</f>
        <v>1062.2541106270219</v>
      </c>
      <c r="J134" s="492">
        <f>IF(J132&gt;0,'Control Center'!$G$38*J132,0)</f>
        <v>1093.5868941201732</v>
      </c>
      <c r="K134" s="492">
        <f>IF(K132&gt;0,'Control Center'!$G$38*K132,0)</f>
        <v>1124.9163829561978</v>
      </c>
      <c r="L134" s="492">
        <f>IF(L132&gt;0,'Control Center'!$G$38*L132,0)</f>
        <v>1279.0184324495572</v>
      </c>
      <c r="M134" s="492">
        <f>IF(M132&gt;0,'Control Center'!$G$38*M132,0)</f>
        <v>1341.0410615062447</v>
      </c>
      <c r="N134" s="492">
        <f>IF(N132&gt;0,'Control Center'!$G$38*N132,0)</f>
        <v>1218.9114674421796</v>
      </c>
      <c r="O134" s="492">
        <f>IF(O132&gt;0,'Control Center'!$G$38*O132,0)</f>
        <v>1127.4750135238016</v>
      </c>
      <c r="P134" s="492">
        <f>IF(P132&gt;0,'Control Center'!$G$38*P132,0)</f>
        <v>913.27261677604736</v>
      </c>
      <c r="Q134" s="492">
        <f>IF(Q132&gt;0,'Control Center'!$G$38*Q132,0)</f>
        <v>1067.3713573931134</v>
      </c>
      <c r="R134" s="492">
        <f>IF(R132&gt;0,'Control Center'!$G$38*R132,0)</f>
        <v>1221.4700980101786</v>
      </c>
      <c r="S134" s="492">
        <f>IF(S132&gt;0,'Control Center'!$G$38*S132,0)</f>
        <v>1344.8790073582431</v>
      </c>
      <c r="T134" s="503">
        <f>IF(T132&gt;0,'Control Center'!$G$38*T132,0)</f>
        <v>13825.120480366559</v>
      </c>
    </row>
    <row r="135" spans="1:20" x14ac:dyDescent="0.3">
      <c r="A135" s="95"/>
      <c r="B135" s="399"/>
      <c r="C135" s="295" t="s">
        <v>130</v>
      </c>
      <c r="D135" s="101"/>
      <c r="E135" s="101"/>
      <c r="F135" s="101"/>
      <c r="G135" s="72"/>
      <c r="H135" s="490">
        <f>H132-H134</f>
        <v>2861.7938084616517</v>
      </c>
      <c r="I135" s="491">
        <f>I132-I134</f>
        <v>2948.7645298308571</v>
      </c>
      <c r="J135" s="491">
        <f>J132-J134</f>
        <v>3035.7427769952164</v>
      </c>
      <c r="K135" s="491">
        <f>K132-K134</f>
        <v>3122.7118783554079</v>
      </c>
      <c r="L135" s="491">
        <f>L132-L134</f>
        <v>3550.491496221071</v>
      </c>
      <c r="M135" s="491">
        <f>M132-M134</f>
        <v>3722.6632268639969</v>
      </c>
      <c r="N135" s="491">
        <f>N132-N134</f>
        <v>3383.6375536131964</v>
      </c>
      <c r="O135" s="491">
        <f>O132-O134</f>
        <v>3129.814509437002</v>
      </c>
      <c r="P135" s="491">
        <f>P132-P134</f>
        <v>2535.1993195162991</v>
      </c>
      <c r="Q135" s="491">
        <f>Q132-Q134</f>
        <v>2962.9697521060953</v>
      </c>
      <c r="R135" s="491">
        <f>R132-R134</f>
        <v>3390.7401846958883</v>
      </c>
      <c r="S135" s="491">
        <f>S132-S134</f>
        <v>3733.3171734880343</v>
      </c>
      <c r="T135" s="504">
        <f>T132-T134</f>
        <v>38377.846209584721</v>
      </c>
    </row>
    <row r="136" spans="1:20" x14ac:dyDescent="0.3">
      <c r="A136" s="95"/>
      <c r="B136" s="401"/>
      <c r="C136" s="325" t="s">
        <v>131</v>
      </c>
      <c r="D136" s="97"/>
      <c r="E136" s="97"/>
      <c r="F136" s="97"/>
      <c r="G136" s="153"/>
      <c r="H136" s="495">
        <f>IFERROR(H135/H110,0)</f>
        <v>8.8398929989336517E-2</v>
      </c>
      <c r="I136" s="496">
        <f>IFERROR(I135/I110,0)</f>
        <v>9.0263364984376163E-2</v>
      </c>
      <c r="J136" s="496">
        <f>IFERROR(J135/J110,0)</f>
        <v>9.2094676732574626E-2</v>
      </c>
      <c r="K136" s="496">
        <f>IFERROR(K135/K110,0)</f>
        <v>9.389333458490759E-2</v>
      </c>
      <c r="L136" s="496">
        <f>IFERROR(L135/L110,0)</f>
        <v>0.10222481366090043</v>
      </c>
      <c r="M136" s="496">
        <f>IFERROR(M135/M110,0)</f>
        <v>0.10539275481466982</v>
      </c>
      <c r="N136" s="496">
        <f>IFERROR(N135/N110,0)</f>
        <v>9.9103299701443354E-2</v>
      </c>
      <c r="O136" s="496">
        <f>IFERROR(O135/O110,0)</f>
        <v>9.4106895663404688E-2</v>
      </c>
      <c r="P136" s="496">
        <f>IFERROR(P135/P110,0)</f>
        <v>8.1271040635241529E-2</v>
      </c>
      <c r="Q136" s="496">
        <f>IFERROR(Q135/Q110,0)</f>
        <v>9.0698194944497657E-2</v>
      </c>
      <c r="R136" s="496">
        <f>IFERROR(R135/R110,0)</f>
        <v>9.9311328536004898E-2</v>
      </c>
      <c r="S136" s="496">
        <f>IFERROR(S135/S110,0)</f>
        <v>0.10569437994590729</v>
      </c>
      <c r="T136" s="497">
        <f>IFERROR(T135/T110,0)</f>
        <v>9.5456540489772118E-2</v>
      </c>
    </row>
    <row r="137" spans="1:20" x14ac:dyDescent="0.3">
      <c r="A137" s="95"/>
      <c r="B137" s="401"/>
      <c r="C137" s="152"/>
      <c r="D137" s="152"/>
      <c r="E137" s="152"/>
      <c r="F137" s="152"/>
      <c r="G137" s="401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</row>
    <row r="138" spans="1:20" x14ac:dyDescent="0.3">
      <c r="A138" s="95"/>
      <c r="B138" s="162"/>
      <c r="C138" s="162" t="s">
        <v>72</v>
      </c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</row>
    <row r="139" spans="1:20" x14ac:dyDescent="0.3">
      <c r="A139" s="95"/>
      <c r="B139" s="163"/>
      <c r="C139" s="163" t="s">
        <v>132</v>
      </c>
      <c r="D139" s="163"/>
      <c r="E139" s="163"/>
      <c r="F139" s="163"/>
      <c r="G139" s="163"/>
      <c r="H139" s="164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6"/>
    </row>
    <row r="140" spans="1:20" x14ac:dyDescent="0.3">
      <c r="A140" s="95"/>
      <c r="B140" s="401"/>
      <c r="C140" s="97"/>
      <c r="D140" s="325" t="s">
        <v>133</v>
      </c>
      <c r="E140" s="97"/>
      <c r="F140" s="97"/>
      <c r="G140" s="115"/>
      <c r="H140" s="501">
        <f>H191</f>
        <v>151862.60260970081</v>
      </c>
      <c r="I140" s="502">
        <f>I191</f>
        <v>154053.18312379331</v>
      </c>
      <c r="J140" s="502">
        <f>J191</f>
        <v>156317.74794377154</v>
      </c>
      <c r="K140" s="502">
        <f>K191</f>
        <v>158656.28929015045</v>
      </c>
      <c r="L140" s="502">
        <f>L191</f>
        <v>161358.70297394323</v>
      </c>
      <c r="M140" s="502">
        <f>M191</f>
        <v>164207.567137023</v>
      </c>
      <c r="N140" s="502">
        <f>N191</f>
        <v>166768.05368925593</v>
      </c>
      <c r="O140" s="502">
        <f>O191</f>
        <v>169112.63658335127</v>
      </c>
      <c r="P140" s="502">
        <f>P191</f>
        <v>170951.43563459374</v>
      </c>
      <c r="Q140" s="502">
        <f>Q191</f>
        <v>173154.09921019012</v>
      </c>
      <c r="R140" s="502">
        <f>R191</f>
        <v>175720.62731014041</v>
      </c>
      <c r="S140" s="502">
        <f>S191</f>
        <v>178578.5537947962</v>
      </c>
      <c r="T140" s="500">
        <f>S140</f>
        <v>178578.5537947962</v>
      </c>
    </row>
    <row r="141" spans="1:20" x14ac:dyDescent="0.3">
      <c r="A141" s="95"/>
      <c r="B141" s="401"/>
      <c r="C141" s="97"/>
      <c r="D141" s="325" t="s">
        <v>73</v>
      </c>
      <c r="E141" s="97"/>
      <c r="F141" s="97"/>
      <c r="G141" s="115"/>
      <c r="H141" s="505">
        <v>0</v>
      </c>
      <c r="I141" s="506">
        <v>0</v>
      </c>
      <c r="J141" s="506">
        <v>0</v>
      </c>
      <c r="K141" s="506">
        <v>0</v>
      </c>
      <c r="L141" s="506">
        <v>0</v>
      </c>
      <c r="M141" s="506">
        <v>0</v>
      </c>
      <c r="N141" s="506">
        <v>0</v>
      </c>
      <c r="O141" s="506">
        <v>0</v>
      </c>
      <c r="P141" s="506">
        <v>0</v>
      </c>
      <c r="Q141" s="506">
        <v>0</v>
      </c>
      <c r="R141" s="506">
        <v>0</v>
      </c>
      <c r="S141" s="506">
        <v>0</v>
      </c>
      <c r="T141" s="500">
        <v>0</v>
      </c>
    </row>
    <row r="142" spans="1:20" x14ac:dyDescent="0.3">
      <c r="A142" s="95"/>
      <c r="B142" s="401"/>
      <c r="C142" s="97"/>
      <c r="D142" s="325" t="s">
        <v>74</v>
      </c>
      <c r="E142" s="97"/>
      <c r="F142" s="97"/>
      <c r="G142" s="115"/>
      <c r="H142" s="505">
        <v>0</v>
      </c>
      <c r="I142" s="506">
        <v>0</v>
      </c>
      <c r="J142" s="506">
        <v>0</v>
      </c>
      <c r="K142" s="506">
        <v>0</v>
      </c>
      <c r="L142" s="506">
        <v>0</v>
      </c>
      <c r="M142" s="506">
        <v>0</v>
      </c>
      <c r="N142" s="506">
        <v>0</v>
      </c>
      <c r="O142" s="506">
        <v>0</v>
      </c>
      <c r="P142" s="506">
        <v>0</v>
      </c>
      <c r="Q142" s="506">
        <v>0</v>
      </c>
      <c r="R142" s="506">
        <v>0</v>
      </c>
      <c r="S142" s="506">
        <v>0</v>
      </c>
      <c r="T142" s="500">
        <v>0</v>
      </c>
    </row>
    <row r="143" spans="1:20" x14ac:dyDescent="0.3">
      <c r="A143" s="95"/>
      <c r="B143" s="399"/>
      <c r="C143" s="101"/>
      <c r="D143" s="295" t="s">
        <v>134</v>
      </c>
      <c r="E143" s="101"/>
      <c r="F143" s="101"/>
      <c r="G143" s="72"/>
      <c r="H143" s="507">
        <f>SUM(H140:H142)</f>
        <v>151862.60260970081</v>
      </c>
      <c r="I143" s="508">
        <f>SUM(I140:I142)</f>
        <v>154053.18312379331</v>
      </c>
      <c r="J143" s="508">
        <f>SUM(J140:J142)</f>
        <v>156317.74794377154</v>
      </c>
      <c r="K143" s="508">
        <f>SUM(K140:K142)</f>
        <v>158656.28929015045</v>
      </c>
      <c r="L143" s="508">
        <f>SUM(L140:L142)</f>
        <v>161358.70297394323</v>
      </c>
      <c r="M143" s="508">
        <f>SUM(M140:M142)</f>
        <v>164207.567137023</v>
      </c>
      <c r="N143" s="508">
        <f>SUM(N140:N142)</f>
        <v>166768.05368925593</v>
      </c>
      <c r="O143" s="508">
        <f>SUM(O140:O142)</f>
        <v>169112.63658335127</v>
      </c>
      <c r="P143" s="508">
        <f>SUM(P140:P142)</f>
        <v>170951.43563459374</v>
      </c>
      <c r="Q143" s="508">
        <f>SUM(Q140:Q142)</f>
        <v>173154.09921019012</v>
      </c>
      <c r="R143" s="508">
        <f>SUM(R140:R142)</f>
        <v>175720.62731014041</v>
      </c>
      <c r="S143" s="508">
        <f>SUM(S140:S142)</f>
        <v>178578.5537947962</v>
      </c>
      <c r="T143" s="504">
        <f>SUM(T140:T142)</f>
        <v>178578.5537947962</v>
      </c>
    </row>
    <row r="144" spans="1:20" x14ac:dyDescent="0.3">
      <c r="A144" s="95"/>
      <c r="B144" s="401"/>
      <c r="C144" s="97"/>
      <c r="D144" s="97"/>
      <c r="E144" s="97"/>
      <c r="F144" s="97"/>
      <c r="G144" s="153"/>
      <c r="H144" s="432"/>
      <c r="I144" s="433"/>
      <c r="J144" s="433"/>
      <c r="K144" s="433"/>
      <c r="L144" s="433"/>
      <c r="M144" s="433"/>
      <c r="N144" s="433"/>
      <c r="O144" s="433"/>
      <c r="P144" s="433"/>
      <c r="Q144" s="433"/>
      <c r="R144" s="433"/>
      <c r="S144" s="433"/>
      <c r="T144" s="434"/>
    </row>
    <row r="145" spans="1:20" x14ac:dyDescent="0.3">
      <c r="A145" s="95"/>
      <c r="B145" s="162"/>
      <c r="C145" s="162" t="s">
        <v>135</v>
      </c>
      <c r="D145" s="162"/>
      <c r="E145" s="162"/>
      <c r="F145" s="162"/>
      <c r="G145" s="162"/>
      <c r="H145" s="140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2"/>
    </row>
    <row r="146" spans="1:20" x14ac:dyDescent="0.3">
      <c r="A146" s="64"/>
      <c r="B146" s="396"/>
      <c r="C146" s="12"/>
      <c r="D146" s="216" t="s">
        <v>75</v>
      </c>
      <c r="E146" s="12"/>
      <c r="F146" s="12"/>
      <c r="G146" s="115"/>
      <c r="H146" s="505">
        <f>('Control Center'!$G$43+('Control Center'!$G$46/12))-H125</f>
        <v>13776.575903000001</v>
      </c>
      <c r="I146" s="505">
        <f>('Control Center'!$G$46)/12-I125+H146</f>
        <v>13636.151806000002</v>
      </c>
      <c r="J146" s="505">
        <f>('Control Center'!$G$46)/12-J125+I146</f>
        <v>13495.727709000003</v>
      </c>
      <c r="K146" s="505">
        <f>('Control Center'!$G$46)/12-K125+J146</f>
        <v>13355.303612000003</v>
      </c>
      <c r="L146" s="505">
        <f>('Control Center'!$G$46)/12-L125+K146</f>
        <v>13214.879515000004</v>
      </c>
      <c r="M146" s="505">
        <f>('Control Center'!$G$46)/12-M125+L146</f>
        <v>13074.455418000005</v>
      </c>
      <c r="N146" s="505">
        <f>('Control Center'!$G$46)/12-N125+M146</f>
        <v>12934.031321000006</v>
      </c>
      <c r="O146" s="505">
        <f>('Control Center'!$G$46)/12-O125+N146</f>
        <v>12793.607224000007</v>
      </c>
      <c r="P146" s="505">
        <f>('Control Center'!$G$46)/12-P125+O146</f>
        <v>12653.183127000008</v>
      </c>
      <c r="Q146" s="505">
        <f>('Control Center'!$G$46)/12-Q125+P146</f>
        <v>12512.759030000008</v>
      </c>
      <c r="R146" s="505">
        <f>('Control Center'!$G$46)/12-R125+Q146</f>
        <v>12372.334933000009</v>
      </c>
      <c r="S146" s="505">
        <f>('Control Center'!$G$46)/12-S125+R146</f>
        <v>12231.91083600001</v>
      </c>
      <c r="T146" s="494">
        <f>S146</f>
        <v>12231.91083600001</v>
      </c>
    </row>
    <row r="147" spans="1:20" x14ac:dyDescent="0.3">
      <c r="A147" s="64"/>
      <c r="B147" s="398"/>
      <c r="C147" s="27"/>
      <c r="D147" s="220" t="s">
        <v>136</v>
      </c>
      <c r="E147" s="27"/>
      <c r="F147" s="27"/>
      <c r="G147" s="72"/>
      <c r="H147" s="490">
        <f>SUM(H146)</f>
        <v>13776.575903000001</v>
      </c>
      <c r="I147" s="491">
        <f>SUM(I146)</f>
        <v>13636.151806000002</v>
      </c>
      <c r="J147" s="491">
        <f>SUM(J146)</f>
        <v>13495.727709000003</v>
      </c>
      <c r="K147" s="491">
        <f>SUM(K146)</f>
        <v>13355.303612000003</v>
      </c>
      <c r="L147" s="491">
        <f>SUM(L146)</f>
        <v>13214.879515000004</v>
      </c>
      <c r="M147" s="491">
        <f>SUM(M146)</f>
        <v>13074.455418000005</v>
      </c>
      <c r="N147" s="491">
        <f>SUM(N146)</f>
        <v>12934.031321000006</v>
      </c>
      <c r="O147" s="491">
        <f>SUM(O146)</f>
        <v>12793.607224000007</v>
      </c>
      <c r="P147" s="491">
        <f>SUM(P146)</f>
        <v>12653.183127000008</v>
      </c>
      <c r="Q147" s="491">
        <f>SUM(Q146)</f>
        <v>12512.759030000008</v>
      </c>
      <c r="R147" s="491">
        <f>SUM(R146)</f>
        <v>12372.334933000009</v>
      </c>
      <c r="S147" s="491">
        <f>SUM(S146)</f>
        <v>12231.91083600001</v>
      </c>
      <c r="T147" s="489">
        <f>SUM(T146)</f>
        <v>12231.91083600001</v>
      </c>
    </row>
    <row r="148" spans="1:20" x14ac:dyDescent="0.3">
      <c r="A148" s="64"/>
      <c r="B148" s="398"/>
      <c r="C148" s="220" t="s">
        <v>137</v>
      </c>
      <c r="D148" s="27"/>
      <c r="E148" s="27"/>
      <c r="F148" s="27"/>
      <c r="G148" s="72"/>
      <c r="H148" s="490">
        <f>H143+H147</f>
        <v>165639.1785127008</v>
      </c>
      <c r="I148" s="491">
        <f>I143+I147</f>
        <v>167689.33492979332</v>
      </c>
      <c r="J148" s="491">
        <f>J143+J147</f>
        <v>169813.47565277154</v>
      </c>
      <c r="K148" s="491">
        <f>K143+K147</f>
        <v>172011.59290215047</v>
      </c>
      <c r="L148" s="491">
        <f>L143+L147</f>
        <v>174573.58248894324</v>
      </c>
      <c r="M148" s="491">
        <f>M143+M147</f>
        <v>177282.022555023</v>
      </c>
      <c r="N148" s="491">
        <f>N143+N147</f>
        <v>179702.08501025595</v>
      </c>
      <c r="O148" s="491">
        <f>O143+O147</f>
        <v>181906.24380735127</v>
      </c>
      <c r="P148" s="491">
        <f>P143+P147</f>
        <v>183604.61876159374</v>
      </c>
      <c r="Q148" s="491">
        <f>Q143+Q147</f>
        <v>185666.85824019014</v>
      </c>
      <c r="R148" s="491">
        <f>R143+R147</f>
        <v>188092.96224314041</v>
      </c>
      <c r="S148" s="491">
        <f>S143+S147</f>
        <v>190810.46463079622</v>
      </c>
      <c r="T148" s="489">
        <f>T143+T147</f>
        <v>190810.46463079622</v>
      </c>
    </row>
    <row r="149" spans="1:20" x14ac:dyDescent="0.3">
      <c r="A149" s="64"/>
      <c r="B149" s="396"/>
      <c r="C149" s="12"/>
      <c r="D149" s="12"/>
      <c r="E149" s="12"/>
      <c r="F149" s="12"/>
      <c r="G149" s="115"/>
      <c r="H149" s="42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1"/>
    </row>
    <row r="150" spans="1:20" x14ac:dyDescent="0.3">
      <c r="A150" s="64"/>
      <c r="B150" s="55"/>
      <c r="C150" s="55" t="s">
        <v>138</v>
      </c>
      <c r="D150" s="55"/>
      <c r="E150" s="55"/>
      <c r="F150" s="55"/>
      <c r="G150" s="55"/>
      <c r="H150" s="77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4"/>
    </row>
    <row r="151" spans="1:20" x14ac:dyDescent="0.3">
      <c r="A151" s="64"/>
      <c r="B151" s="396"/>
      <c r="C151" s="12"/>
      <c r="D151" s="216" t="s">
        <v>139</v>
      </c>
      <c r="E151" s="12"/>
      <c r="F151" s="12"/>
      <c r="G151" s="115"/>
      <c r="H151" s="492">
        <v>0</v>
      </c>
      <c r="I151" s="493">
        <v>0</v>
      </c>
      <c r="J151" s="493">
        <v>0</v>
      </c>
      <c r="K151" s="493">
        <v>0</v>
      </c>
      <c r="L151" s="493">
        <v>0</v>
      </c>
      <c r="M151" s="493">
        <v>0</v>
      </c>
      <c r="N151" s="493">
        <v>0</v>
      </c>
      <c r="O151" s="493">
        <v>0</v>
      </c>
      <c r="P151" s="493">
        <v>0</v>
      </c>
      <c r="Q151" s="493">
        <v>0</v>
      </c>
      <c r="R151" s="493">
        <v>0</v>
      </c>
      <c r="S151" s="493">
        <v>0</v>
      </c>
      <c r="T151" s="494">
        <v>0</v>
      </c>
    </row>
    <row r="152" spans="1:20" x14ac:dyDescent="0.3">
      <c r="A152" s="64"/>
      <c r="B152" s="396"/>
      <c r="C152" s="12"/>
      <c r="D152" s="216" t="s">
        <v>78</v>
      </c>
      <c r="E152" s="12"/>
      <c r="F152" s="12"/>
      <c r="G152" s="115"/>
      <c r="H152" s="492">
        <v>0</v>
      </c>
      <c r="I152" s="493">
        <v>0</v>
      </c>
      <c r="J152" s="493">
        <v>0</v>
      </c>
      <c r="K152" s="493">
        <v>0</v>
      </c>
      <c r="L152" s="493">
        <v>0</v>
      </c>
      <c r="M152" s="493">
        <v>0</v>
      </c>
      <c r="N152" s="493">
        <v>0</v>
      </c>
      <c r="O152" s="493">
        <v>0</v>
      </c>
      <c r="P152" s="493">
        <v>0</v>
      </c>
      <c r="Q152" s="493">
        <v>0</v>
      </c>
      <c r="R152" s="493">
        <v>0</v>
      </c>
      <c r="S152" s="493">
        <v>0</v>
      </c>
      <c r="T152" s="494">
        <v>0</v>
      </c>
    </row>
    <row r="153" spans="1:20" x14ac:dyDescent="0.3">
      <c r="A153" s="64"/>
      <c r="B153" s="398"/>
      <c r="C153" s="27"/>
      <c r="D153" s="220" t="s">
        <v>140</v>
      </c>
      <c r="E153" s="27"/>
      <c r="F153" s="27"/>
      <c r="G153" s="72"/>
      <c r="H153" s="490">
        <f>SUM(H151:H152)</f>
        <v>0</v>
      </c>
      <c r="I153" s="491">
        <f>SUM(I151:I152)</f>
        <v>0</v>
      </c>
      <c r="J153" s="491">
        <f>SUM(J151:J152)</f>
        <v>0</v>
      </c>
      <c r="K153" s="491">
        <f>SUM(K151:K152)</f>
        <v>0</v>
      </c>
      <c r="L153" s="491">
        <f>SUM(L151:L152)</f>
        <v>0</v>
      </c>
      <c r="M153" s="491">
        <f>SUM(M151:M152)</f>
        <v>0</v>
      </c>
      <c r="N153" s="491">
        <f>SUM(N151:N152)</f>
        <v>0</v>
      </c>
      <c r="O153" s="491">
        <f>SUM(O151:O152)</f>
        <v>0</v>
      </c>
      <c r="P153" s="491">
        <f>SUM(P151:P152)</f>
        <v>0</v>
      </c>
      <c r="Q153" s="491">
        <f>SUM(Q151:Q152)</f>
        <v>0</v>
      </c>
      <c r="R153" s="491">
        <f>SUM(R151:R152)</f>
        <v>0</v>
      </c>
      <c r="S153" s="491">
        <f>SUM(S151:S152)</f>
        <v>0</v>
      </c>
      <c r="T153" s="489">
        <f>SUM(T151:T152)</f>
        <v>0</v>
      </c>
    </row>
    <row r="154" spans="1:20" x14ac:dyDescent="0.3">
      <c r="A154" s="64"/>
      <c r="B154" s="396"/>
      <c r="C154" s="12"/>
      <c r="D154" s="12"/>
      <c r="E154" s="12"/>
      <c r="F154" s="12"/>
      <c r="G154" s="115"/>
      <c r="H154" s="42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1"/>
    </row>
    <row r="155" spans="1:20" x14ac:dyDescent="0.3">
      <c r="A155" s="64"/>
      <c r="B155" s="55"/>
      <c r="C155" s="55" t="s">
        <v>141</v>
      </c>
      <c r="D155" s="55"/>
      <c r="E155" s="55"/>
      <c r="F155" s="55"/>
      <c r="G155" s="55"/>
      <c r="H155" s="77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4"/>
    </row>
    <row r="156" spans="1:20" x14ac:dyDescent="0.3">
      <c r="A156" s="64"/>
      <c r="B156" s="396"/>
      <c r="C156" s="12"/>
      <c r="D156" s="216" t="s">
        <v>82</v>
      </c>
      <c r="E156" s="12"/>
      <c r="F156" s="12"/>
      <c r="G156" s="115"/>
      <c r="H156" s="492">
        <f>'Control Center'!$G$50+('Control Center'!$G$52/12)</f>
        <v>70401.916666666672</v>
      </c>
      <c r="I156" s="499">
        <f>H156+I184</f>
        <v>69943.833333333343</v>
      </c>
      <c r="J156" s="499">
        <f>I156+J184</f>
        <v>69485.750000000015</v>
      </c>
      <c r="K156" s="499">
        <f>J156+K184</f>
        <v>69027.666666666686</v>
      </c>
      <c r="L156" s="499">
        <f>K156+L184</f>
        <v>68569.583333333358</v>
      </c>
      <c r="M156" s="499">
        <f>L156+M184</f>
        <v>68111.500000000029</v>
      </c>
      <c r="N156" s="499">
        <f>M156+N184</f>
        <v>67653.416666666701</v>
      </c>
      <c r="O156" s="499">
        <f>N156+O184</f>
        <v>67195.333333333372</v>
      </c>
      <c r="P156" s="499">
        <f>O156+P184</f>
        <v>66737.250000000044</v>
      </c>
      <c r="Q156" s="499">
        <f>P156+Q184</f>
        <v>66279.166666666715</v>
      </c>
      <c r="R156" s="499">
        <f>Q156+R184</f>
        <v>65821.083333333387</v>
      </c>
      <c r="S156" s="499">
        <f>R156+S184</f>
        <v>65363.000000000051</v>
      </c>
      <c r="T156" s="494">
        <f>S156</f>
        <v>65363.000000000051</v>
      </c>
    </row>
    <row r="157" spans="1:20" x14ac:dyDescent="0.3">
      <c r="A157" s="64"/>
      <c r="B157" s="398"/>
      <c r="C157" s="27"/>
      <c r="D157" s="220" t="s">
        <v>142</v>
      </c>
      <c r="E157" s="27"/>
      <c r="F157" s="27"/>
      <c r="G157" s="72"/>
      <c r="H157" s="490">
        <f>SUM(H156)</f>
        <v>70401.916666666672</v>
      </c>
      <c r="I157" s="491">
        <f>SUM(I156)</f>
        <v>69943.833333333343</v>
      </c>
      <c r="J157" s="491">
        <f>SUM(J156)</f>
        <v>69485.750000000015</v>
      </c>
      <c r="K157" s="491">
        <f>SUM(K156)</f>
        <v>69027.666666666686</v>
      </c>
      <c r="L157" s="491">
        <f>SUM(L156)</f>
        <v>68569.583333333358</v>
      </c>
      <c r="M157" s="491">
        <f>SUM(M156)</f>
        <v>68111.500000000029</v>
      </c>
      <c r="N157" s="491">
        <f>SUM(N156)</f>
        <v>67653.416666666701</v>
      </c>
      <c r="O157" s="491">
        <f>SUM(O156)</f>
        <v>67195.333333333372</v>
      </c>
      <c r="P157" s="491">
        <f>SUM(P156)</f>
        <v>66737.250000000044</v>
      </c>
      <c r="Q157" s="491">
        <f>SUM(Q156)</f>
        <v>66279.166666666715</v>
      </c>
      <c r="R157" s="491">
        <f>SUM(R156)</f>
        <v>65821.083333333387</v>
      </c>
      <c r="S157" s="491">
        <f>SUM(S156)</f>
        <v>65363.000000000051</v>
      </c>
      <c r="T157" s="489">
        <f>SUM(T156)</f>
        <v>65363.000000000051</v>
      </c>
    </row>
    <row r="158" spans="1:20" x14ac:dyDescent="0.3">
      <c r="A158" s="64"/>
      <c r="B158" s="398"/>
      <c r="C158" s="220" t="s">
        <v>143</v>
      </c>
      <c r="D158" s="27"/>
      <c r="E158" s="27"/>
      <c r="F158" s="27"/>
      <c r="G158" s="72"/>
      <c r="H158" s="490">
        <f>H153+H157</f>
        <v>70401.916666666672</v>
      </c>
      <c r="I158" s="491">
        <f>I153+I157</f>
        <v>69943.833333333343</v>
      </c>
      <c r="J158" s="491">
        <f>J153+J157</f>
        <v>69485.750000000015</v>
      </c>
      <c r="K158" s="491">
        <f>K153+K157</f>
        <v>69027.666666666686</v>
      </c>
      <c r="L158" s="491">
        <f>L153+L157</f>
        <v>68569.583333333358</v>
      </c>
      <c r="M158" s="491">
        <f>M153+M157</f>
        <v>68111.500000000029</v>
      </c>
      <c r="N158" s="491">
        <f>N153+N157</f>
        <v>67653.416666666701</v>
      </c>
      <c r="O158" s="491">
        <f>O153+O157</f>
        <v>67195.333333333372</v>
      </c>
      <c r="P158" s="491">
        <f>P153+P157</f>
        <v>66737.250000000044</v>
      </c>
      <c r="Q158" s="491">
        <f>Q153+Q157</f>
        <v>66279.166666666715</v>
      </c>
      <c r="R158" s="491">
        <f>R153+R157</f>
        <v>65821.083333333387</v>
      </c>
      <c r="S158" s="491">
        <f>S153+S157</f>
        <v>65363.000000000051</v>
      </c>
      <c r="T158" s="489">
        <f>T153+T157</f>
        <v>65363.000000000051</v>
      </c>
    </row>
    <row r="159" spans="1:20" x14ac:dyDescent="0.3">
      <c r="A159" s="64"/>
      <c r="B159" s="396"/>
      <c r="C159" s="12"/>
      <c r="D159" s="12"/>
      <c r="E159" s="12"/>
      <c r="F159" s="12"/>
      <c r="G159" s="115"/>
      <c r="H159" s="42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1"/>
    </row>
    <row r="160" spans="1:20" x14ac:dyDescent="0.3">
      <c r="A160" s="64"/>
      <c r="B160" s="55"/>
      <c r="C160" s="55" t="s">
        <v>6</v>
      </c>
      <c r="D160" s="55"/>
      <c r="E160" s="55"/>
      <c r="F160" s="55"/>
      <c r="G160" s="55"/>
      <c r="H160" s="77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4"/>
    </row>
    <row r="161" spans="1:20" x14ac:dyDescent="0.3">
      <c r="A161" s="64"/>
      <c r="B161" s="396"/>
      <c r="C161" s="12"/>
      <c r="D161" s="216" t="s">
        <v>84</v>
      </c>
      <c r="E161" s="12"/>
      <c r="F161" s="12"/>
      <c r="G161" s="115"/>
      <c r="H161" s="492">
        <f>'Control Center'!$G$51</f>
        <v>92803</v>
      </c>
      <c r="I161" s="499">
        <f>H161</f>
        <v>92803</v>
      </c>
      <c r="J161" s="499">
        <f>I161</f>
        <v>92803</v>
      </c>
      <c r="K161" s="499">
        <f>J161</f>
        <v>92803</v>
      </c>
      <c r="L161" s="499">
        <f>K161</f>
        <v>92803</v>
      </c>
      <c r="M161" s="499">
        <f>L161</f>
        <v>92803</v>
      </c>
      <c r="N161" s="499">
        <f>M161</f>
        <v>92803</v>
      </c>
      <c r="O161" s="499">
        <f>N161</f>
        <v>92803</v>
      </c>
      <c r="P161" s="499">
        <f>O161</f>
        <v>92803</v>
      </c>
      <c r="Q161" s="499">
        <f>P161</f>
        <v>92803</v>
      </c>
      <c r="R161" s="499">
        <f>Q161</f>
        <v>92803</v>
      </c>
      <c r="S161" s="499">
        <f>R161</f>
        <v>92803</v>
      </c>
      <c r="T161" s="494">
        <f>S161</f>
        <v>92803</v>
      </c>
    </row>
    <row r="162" spans="1:20" x14ac:dyDescent="0.3">
      <c r="A162" s="64"/>
      <c r="B162" s="396"/>
      <c r="C162" s="12"/>
      <c r="D162" s="216" t="s">
        <v>5</v>
      </c>
      <c r="E162" s="12"/>
      <c r="F162" s="12"/>
      <c r="G162" s="115"/>
      <c r="H162" s="498">
        <f>0+H135+H186</f>
        <v>2434.26184603414</v>
      </c>
      <c r="I162" s="499">
        <f>H162+I135+I186</f>
        <v>4942.5015964599761</v>
      </c>
      <c r="J162" s="499">
        <f>I162+J135+J186</f>
        <v>7524.7256527715463</v>
      </c>
      <c r="K162" s="499">
        <f>J162+K135+K186</f>
        <v>10180.926235483805</v>
      </c>
      <c r="L162" s="499">
        <f>K162+L135+L186</f>
        <v>13200.999155609921</v>
      </c>
      <c r="M162" s="499">
        <f>L162+M135+M186</f>
        <v>16367.522555023024</v>
      </c>
      <c r="N162" s="499">
        <f>M162+N135+N186</f>
        <v>19245.668343589285</v>
      </c>
      <c r="O162" s="499">
        <f>N162+O135+O186</f>
        <v>21907.910474017965</v>
      </c>
      <c r="P162" s="499">
        <f>O162+P135+P186</f>
        <v>24064.368761593763</v>
      </c>
      <c r="Q162" s="499">
        <f>P162+Q135+Q186</f>
        <v>26584.691573523472</v>
      </c>
      <c r="R162" s="499">
        <f>Q162+R135+R186</f>
        <v>29468.878909807088</v>
      </c>
      <c r="S162" s="499">
        <f>R162+S135+S186</f>
        <v>32644.464630796225</v>
      </c>
      <c r="T162" s="494">
        <f>S162</f>
        <v>32644.464630796225</v>
      </c>
    </row>
    <row r="163" spans="1:20" x14ac:dyDescent="0.3">
      <c r="A163" s="64"/>
      <c r="B163" s="398"/>
      <c r="C163" s="27"/>
      <c r="D163" s="220" t="s">
        <v>144</v>
      </c>
      <c r="E163" s="27"/>
      <c r="F163" s="27"/>
      <c r="G163" s="72"/>
      <c r="H163" s="490">
        <f>SUM(H161:H162)</f>
        <v>95237.261846034147</v>
      </c>
      <c r="I163" s="491">
        <f>SUM(I161:I162)</f>
        <v>97745.501596459973</v>
      </c>
      <c r="J163" s="491">
        <f>SUM(J161:J162)</f>
        <v>100327.72565277155</v>
      </c>
      <c r="K163" s="491">
        <f>SUM(K161:K162)</f>
        <v>102983.9262354838</v>
      </c>
      <c r="L163" s="491">
        <f>SUM(L161:L162)</f>
        <v>106003.99915560993</v>
      </c>
      <c r="M163" s="491">
        <f>SUM(M161:M162)</f>
        <v>109170.52255502302</v>
      </c>
      <c r="N163" s="491">
        <f>SUM(N161:N162)</f>
        <v>112048.66834358929</v>
      </c>
      <c r="O163" s="491">
        <f>SUM(O161:O162)</f>
        <v>114710.91047401796</v>
      </c>
      <c r="P163" s="491">
        <f>SUM(P161:P162)</f>
        <v>116867.36876159377</v>
      </c>
      <c r="Q163" s="491">
        <f>SUM(Q161:Q162)</f>
        <v>119387.69157352348</v>
      </c>
      <c r="R163" s="491">
        <f>SUM(R161:R162)</f>
        <v>122271.87890980708</v>
      </c>
      <c r="S163" s="491">
        <f>SUM(S161:S162)</f>
        <v>125447.46463079622</v>
      </c>
      <c r="T163" s="489">
        <f>SUM(T161:T162)</f>
        <v>125447.46463079622</v>
      </c>
    </row>
    <row r="164" spans="1:20" x14ac:dyDescent="0.3">
      <c r="A164" s="64"/>
      <c r="B164" s="398"/>
      <c r="C164" s="220" t="s">
        <v>145</v>
      </c>
      <c r="D164" s="27"/>
      <c r="E164" s="27"/>
      <c r="F164" s="27"/>
      <c r="G164" s="72"/>
      <c r="H164" s="490">
        <f>H158+H163</f>
        <v>165639.17851270083</v>
      </c>
      <c r="I164" s="491">
        <f>I158+I163</f>
        <v>167689.33492979332</v>
      </c>
      <c r="J164" s="491">
        <f>J158+J163</f>
        <v>169813.47565277157</v>
      </c>
      <c r="K164" s="491">
        <f>K158+K163</f>
        <v>172011.59290215047</v>
      </c>
      <c r="L164" s="491">
        <f>L158+L163</f>
        <v>174573.5824889433</v>
      </c>
      <c r="M164" s="491">
        <f>M158+M163</f>
        <v>177282.02255502305</v>
      </c>
      <c r="N164" s="491">
        <f>N158+N163</f>
        <v>179702.08501025598</v>
      </c>
      <c r="O164" s="491">
        <f>O158+O163</f>
        <v>181906.24380735133</v>
      </c>
      <c r="P164" s="491">
        <f>P158+P163</f>
        <v>183604.61876159383</v>
      </c>
      <c r="Q164" s="491">
        <f>Q158+Q163</f>
        <v>185666.85824019019</v>
      </c>
      <c r="R164" s="491">
        <f>R158+R163</f>
        <v>188092.96224314047</v>
      </c>
      <c r="S164" s="491">
        <f>S158+S163</f>
        <v>190810.46463079628</v>
      </c>
      <c r="T164" s="489">
        <f>T158+T163</f>
        <v>190810.46463079628</v>
      </c>
    </row>
    <row r="165" spans="1:20" x14ac:dyDescent="0.3">
      <c r="A165" s="64"/>
      <c r="B165" s="396"/>
      <c r="C165" s="12"/>
      <c r="D165" s="12"/>
      <c r="E165" s="12"/>
      <c r="F165" s="12"/>
      <c r="G165" s="115"/>
      <c r="H165" s="42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1"/>
    </row>
    <row r="166" spans="1:20" x14ac:dyDescent="0.3">
      <c r="A166" s="429"/>
      <c r="B166" s="430"/>
      <c r="C166" s="327"/>
      <c r="D166" s="327" t="s">
        <v>146</v>
      </c>
      <c r="E166" s="327"/>
      <c r="F166" s="327"/>
      <c r="G166" s="327"/>
      <c r="H166" s="435">
        <f>H148-H164</f>
        <v>0</v>
      </c>
      <c r="I166" s="436">
        <f>I148-I164</f>
        <v>0</v>
      </c>
      <c r="J166" s="436">
        <f>J148-J164</f>
        <v>0</v>
      </c>
      <c r="K166" s="436">
        <f>K148-K164</f>
        <v>0</v>
      </c>
      <c r="L166" s="436">
        <f>L148-L164</f>
        <v>0</v>
      </c>
      <c r="M166" s="436">
        <f>M148-M164</f>
        <v>0</v>
      </c>
      <c r="N166" s="436">
        <f>N148-N164</f>
        <v>0</v>
      </c>
      <c r="O166" s="436">
        <f>O148-O164</f>
        <v>0</v>
      </c>
      <c r="P166" s="436">
        <f>P148-P164</f>
        <v>0</v>
      </c>
      <c r="Q166" s="436">
        <f>Q148-Q164</f>
        <v>0</v>
      </c>
      <c r="R166" s="436">
        <f>R148-R164</f>
        <v>0</v>
      </c>
      <c r="S166" s="436">
        <f>S148-S164</f>
        <v>0</v>
      </c>
      <c r="T166" s="437">
        <f>T148-T164</f>
        <v>0</v>
      </c>
    </row>
    <row r="167" spans="1:20" x14ac:dyDescent="0.3">
      <c r="A167" s="64"/>
      <c r="B167" s="396"/>
      <c r="C167" s="11"/>
      <c r="D167" s="11"/>
      <c r="E167" s="11"/>
      <c r="F167" s="11"/>
      <c r="G167" s="396"/>
      <c r="H167" s="159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3">
      <c r="A168" s="64"/>
      <c r="B168" s="33"/>
      <c r="C168" s="167" t="s">
        <v>147</v>
      </c>
      <c r="D168" s="167"/>
      <c r="E168" s="167"/>
      <c r="F168" s="167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</row>
    <row r="169" spans="1:20" x14ac:dyDescent="0.3">
      <c r="A169" s="64"/>
      <c r="B169" s="33"/>
      <c r="C169" s="33" t="s">
        <v>148</v>
      </c>
      <c r="D169" s="33"/>
      <c r="E169" s="33"/>
      <c r="F169" s="33"/>
      <c r="G169" s="33"/>
      <c r="H169" s="147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9"/>
    </row>
    <row r="170" spans="1:20" x14ac:dyDescent="0.3">
      <c r="A170" s="64"/>
      <c r="B170" s="398"/>
      <c r="C170" s="27"/>
      <c r="D170" s="220" t="s">
        <v>130</v>
      </c>
      <c r="E170" s="27"/>
      <c r="F170" s="27"/>
      <c r="G170" s="72"/>
      <c r="H170" s="490">
        <f>H135</f>
        <v>2861.7938084616517</v>
      </c>
      <c r="I170" s="491">
        <f>I135</f>
        <v>2948.7645298308571</v>
      </c>
      <c r="J170" s="491">
        <f>J135</f>
        <v>3035.7427769952164</v>
      </c>
      <c r="K170" s="491">
        <f>K135</f>
        <v>3122.7118783554079</v>
      </c>
      <c r="L170" s="491">
        <f>L135</f>
        <v>3550.491496221071</v>
      </c>
      <c r="M170" s="491">
        <f>M135</f>
        <v>3722.6632268639969</v>
      </c>
      <c r="N170" s="491">
        <f>N135</f>
        <v>3383.6375536131964</v>
      </c>
      <c r="O170" s="491">
        <f>O135</f>
        <v>3129.814509437002</v>
      </c>
      <c r="P170" s="491">
        <f>P135</f>
        <v>2535.1993195162991</v>
      </c>
      <c r="Q170" s="491">
        <f>Q135</f>
        <v>2962.9697521060953</v>
      </c>
      <c r="R170" s="491">
        <f>R135</f>
        <v>3390.7401846958883</v>
      </c>
      <c r="S170" s="491">
        <f>S135</f>
        <v>3733.3171734880343</v>
      </c>
      <c r="T170" s="489">
        <f>SUM(H170:S170)</f>
        <v>38377.846209584721</v>
      </c>
    </row>
    <row r="171" spans="1:20" x14ac:dyDescent="0.3">
      <c r="A171" s="64"/>
      <c r="B171" s="398"/>
      <c r="C171" s="27"/>
      <c r="D171" s="220" t="s">
        <v>149</v>
      </c>
      <c r="E171" s="27"/>
      <c r="F171" s="27"/>
      <c r="G171" s="72"/>
      <c r="H171" s="490">
        <f>H125</f>
        <v>721.67409700000007</v>
      </c>
      <c r="I171" s="491">
        <f>I125</f>
        <v>721.67409700000007</v>
      </c>
      <c r="J171" s="491">
        <f>J125</f>
        <v>721.67409700000007</v>
      </c>
      <c r="K171" s="491">
        <f>K125</f>
        <v>721.67409700000007</v>
      </c>
      <c r="L171" s="491">
        <f>L125</f>
        <v>721.67409700000007</v>
      </c>
      <c r="M171" s="491">
        <f>M125</f>
        <v>721.67409700000007</v>
      </c>
      <c r="N171" s="491">
        <f>N125</f>
        <v>721.67409700000007</v>
      </c>
      <c r="O171" s="491">
        <f>O125</f>
        <v>721.67409700000007</v>
      </c>
      <c r="P171" s="491">
        <f>P125</f>
        <v>721.67409700000007</v>
      </c>
      <c r="Q171" s="491">
        <f>Q125</f>
        <v>721.67409700000007</v>
      </c>
      <c r="R171" s="491">
        <f>R125</f>
        <v>721.67409700000007</v>
      </c>
      <c r="S171" s="491">
        <f>S125</f>
        <v>721.67409700000007</v>
      </c>
      <c r="T171" s="489">
        <f>SUM(H171:S171)</f>
        <v>8660.0891640000009</v>
      </c>
    </row>
    <row r="172" spans="1:20" x14ac:dyDescent="0.3">
      <c r="A172" s="64"/>
      <c r="B172" s="396"/>
      <c r="C172" s="12"/>
      <c r="D172" s="216" t="s">
        <v>150</v>
      </c>
      <c r="E172" s="12"/>
      <c r="F172" s="12"/>
      <c r="G172" s="115"/>
      <c r="H172" s="42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1"/>
    </row>
    <row r="173" spans="1:20" x14ac:dyDescent="0.3">
      <c r="A173" s="64"/>
      <c r="B173" s="398"/>
      <c r="C173" s="27"/>
      <c r="D173" s="27"/>
      <c r="E173" s="220" t="s">
        <v>73</v>
      </c>
      <c r="F173" s="27"/>
      <c r="G173" s="72"/>
      <c r="H173" s="490">
        <f>0-H141</f>
        <v>0</v>
      </c>
      <c r="I173" s="491">
        <f>H141-I141</f>
        <v>0</v>
      </c>
      <c r="J173" s="491">
        <f>I141-J141</f>
        <v>0</v>
      </c>
      <c r="K173" s="491">
        <f>J141-K141</f>
        <v>0</v>
      </c>
      <c r="L173" s="491">
        <f>K141-L141</f>
        <v>0</v>
      </c>
      <c r="M173" s="491">
        <f>L141-M141</f>
        <v>0</v>
      </c>
      <c r="N173" s="491">
        <f>M141-N141</f>
        <v>0</v>
      </c>
      <c r="O173" s="491">
        <f>N141-O141</f>
        <v>0</v>
      </c>
      <c r="P173" s="491">
        <f>O141-P141</f>
        <v>0</v>
      </c>
      <c r="Q173" s="491">
        <f>P141-Q141</f>
        <v>0</v>
      </c>
      <c r="R173" s="491">
        <f>Q141-R141</f>
        <v>0</v>
      </c>
      <c r="S173" s="491">
        <f>R141-S141</f>
        <v>0</v>
      </c>
      <c r="T173" s="489">
        <f>SUM(H173:S173)</f>
        <v>0</v>
      </c>
    </row>
    <row r="174" spans="1:20" x14ac:dyDescent="0.3">
      <c r="A174" s="64"/>
      <c r="B174" s="398"/>
      <c r="C174" s="27"/>
      <c r="D174" s="27"/>
      <c r="E174" s="220" t="s">
        <v>74</v>
      </c>
      <c r="F174" s="27"/>
      <c r="G174" s="72"/>
      <c r="H174" s="490">
        <f>0-H142</f>
        <v>0</v>
      </c>
      <c r="I174" s="491">
        <f>H142-I142</f>
        <v>0</v>
      </c>
      <c r="J174" s="491">
        <f>I142-J142</f>
        <v>0</v>
      </c>
      <c r="K174" s="491">
        <f>J142-K142</f>
        <v>0</v>
      </c>
      <c r="L174" s="491">
        <f>K142-L142</f>
        <v>0</v>
      </c>
      <c r="M174" s="491">
        <f>L142-M142</f>
        <v>0</v>
      </c>
      <c r="N174" s="491">
        <f>M142-N142</f>
        <v>0</v>
      </c>
      <c r="O174" s="491">
        <f>N142-O142</f>
        <v>0</v>
      </c>
      <c r="P174" s="491">
        <f>O142-P142</f>
        <v>0</v>
      </c>
      <c r="Q174" s="491">
        <f>P142-Q142</f>
        <v>0</v>
      </c>
      <c r="R174" s="491">
        <f>Q142-R142</f>
        <v>0</v>
      </c>
      <c r="S174" s="491">
        <f>R142-S142</f>
        <v>0</v>
      </c>
      <c r="T174" s="489">
        <f>SUM(H174:S174)</f>
        <v>0</v>
      </c>
    </row>
    <row r="175" spans="1:20" x14ac:dyDescent="0.3">
      <c r="A175" s="64"/>
      <c r="B175" s="398"/>
      <c r="C175" s="27"/>
      <c r="D175" s="27"/>
      <c r="E175" s="220" t="s">
        <v>77</v>
      </c>
      <c r="F175" s="27"/>
      <c r="G175" s="72"/>
      <c r="H175" s="490">
        <f>H151-0</f>
        <v>0</v>
      </c>
      <c r="I175" s="491">
        <f>I151-H151</f>
        <v>0</v>
      </c>
      <c r="J175" s="491">
        <f>J151-I151</f>
        <v>0</v>
      </c>
      <c r="K175" s="491">
        <f>K151-J151</f>
        <v>0</v>
      </c>
      <c r="L175" s="491">
        <f>L151-K151</f>
        <v>0</v>
      </c>
      <c r="M175" s="491">
        <f>M151-L151</f>
        <v>0</v>
      </c>
      <c r="N175" s="491">
        <f>N151-M151</f>
        <v>0</v>
      </c>
      <c r="O175" s="491">
        <f>O151-N151</f>
        <v>0</v>
      </c>
      <c r="P175" s="491">
        <f>P151-O151</f>
        <v>0</v>
      </c>
      <c r="Q175" s="491">
        <f>Q151-P151</f>
        <v>0</v>
      </c>
      <c r="R175" s="491">
        <f>R151-Q151</f>
        <v>0</v>
      </c>
      <c r="S175" s="491">
        <f>S151-R151</f>
        <v>0</v>
      </c>
      <c r="T175" s="489">
        <f>SUM(H175:S175)</f>
        <v>0</v>
      </c>
    </row>
    <row r="176" spans="1:20" x14ac:dyDescent="0.3">
      <c r="A176" s="64"/>
      <c r="B176" s="398"/>
      <c r="C176" s="27"/>
      <c r="D176" s="27"/>
      <c r="E176" s="220" t="s">
        <v>78</v>
      </c>
      <c r="F176" s="27"/>
      <c r="G176" s="72"/>
      <c r="H176" s="490">
        <f>H152-0</f>
        <v>0</v>
      </c>
      <c r="I176" s="491">
        <f>I152-H152</f>
        <v>0</v>
      </c>
      <c r="J176" s="491">
        <f>J152-I152</f>
        <v>0</v>
      </c>
      <c r="K176" s="491">
        <f>K152-J152</f>
        <v>0</v>
      </c>
      <c r="L176" s="491">
        <f>L152-K152</f>
        <v>0</v>
      </c>
      <c r="M176" s="491">
        <f>M152-L152</f>
        <v>0</v>
      </c>
      <c r="N176" s="491">
        <f>N152-M152</f>
        <v>0</v>
      </c>
      <c r="O176" s="491">
        <f>O152-N152</f>
        <v>0</v>
      </c>
      <c r="P176" s="491">
        <f>P152-O152</f>
        <v>0</v>
      </c>
      <c r="Q176" s="491">
        <f>Q152-P152</f>
        <v>0</v>
      </c>
      <c r="R176" s="491">
        <f>R152-Q152</f>
        <v>0</v>
      </c>
      <c r="S176" s="491">
        <f>S152-R152</f>
        <v>0</v>
      </c>
      <c r="T176" s="489">
        <f>SUM(H176:S176)</f>
        <v>0</v>
      </c>
    </row>
    <row r="177" spans="1:20" x14ac:dyDescent="0.3">
      <c r="A177" s="64"/>
      <c r="B177" s="398"/>
      <c r="C177" s="220" t="s">
        <v>151</v>
      </c>
      <c r="D177" s="27"/>
      <c r="E177" s="27"/>
      <c r="F177" s="27"/>
      <c r="G177" s="72"/>
      <c r="H177" s="490">
        <f>SUM(H170:H176)</f>
        <v>3583.4679054616518</v>
      </c>
      <c r="I177" s="491">
        <f>SUM(I170:I176)</f>
        <v>3670.4386268308572</v>
      </c>
      <c r="J177" s="491">
        <f>SUM(J170:J176)</f>
        <v>3757.4168739952165</v>
      </c>
      <c r="K177" s="491">
        <f>SUM(K170:K176)</f>
        <v>3844.3859753554079</v>
      </c>
      <c r="L177" s="491">
        <f>SUM(L170:L176)</f>
        <v>4272.1655932210706</v>
      </c>
      <c r="M177" s="491">
        <f>SUM(M170:M176)</f>
        <v>4444.337323863997</v>
      </c>
      <c r="N177" s="491">
        <f>SUM(N170:N176)</f>
        <v>4105.3116506131964</v>
      </c>
      <c r="O177" s="491">
        <f>SUM(O170:O176)</f>
        <v>3851.4886064370021</v>
      </c>
      <c r="P177" s="491">
        <f>SUM(P170:P176)</f>
        <v>3256.8734165162991</v>
      </c>
      <c r="Q177" s="491">
        <f>SUM(Q170:Q176)</f>
        <v>3684.6438491060953</v>
      </c>
      <c r="R177" s="491">
        <f>SUM(R170:R176)</f>
        <v>4112.4142816958883</v>
      </c>
      <c r="S177" s="491">
        <f>SUM(S170:S176)</f>
        <v>4454.9912704880344</v>
      </c>
      <c r="T177" s="489">
        <f>SUM(T170:T176)</f>
        <v>47037.935373584725</v>
      </c>
    </row>
    <row r="178" spans="1:20" x14ac:dyDescent="0.3">
      <c r="A178" s="64"/>
      <c r="B178" s="396"/>
      <c r="C178" s="12"/>
      <c r="D178" s="12"/>
      <c r="E178" s="12"/>
      <c r="F178" s="12"/>
      <c r="G178" s="115"/>
      <c r="H178" s="42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1"/>
    </row>
    <row r="179" spans="1:20" x14ac:dyDescent="0.3">
      <c r="A179" s="64"/>
      <c r="B179" s="33"/>
      <c r="C179" s="33" t="s">
        <v>152</v>
      </c>
      <c r="D179" s="33"/>
      <c r="E179" s="33"/>
      <c r="F179" s="33"/>
      <c r="G179" s="33"/>
      <c r="H179" s="147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9"/>
    </row>
    <row r="180" spans="1:20" x14ac:dyDescent="0.3">
      <c r="A180" s="64"/>
      <c r="B180" s="396"/>
      <c r="C180" s="12"/>
      <c r="D180" s="216" t="s">
        <v>153</v>
      </c>
      <c r="E180" s="12"/>
      <c r="F180" s="12"/>
      <c r="G180" s="115"/>
      <c r="H180" s="492">
        <f>-('Control Center'!$G$43+('Control Center'!$G$46/12))</f>
        <v>-14498.25</v>
      </c>
      <c r="I180" s="492">
        <f>-('Control Center'!$G$46)/12</f>
        <v>-581.25</v>
      </c>
      <c r="J180" s="492">
        <f>-('Control Center'!$G$46)/12</f>
        <v>-581.25</v>
      </c>
      <c r="K180" s="492">
        <f>-('Control Center'!$G$46)/12</f>
        <v>-581.25</v>
      </c>
      <c r="L180" s="492">
        <f>-('Control Center'!$G$46)/12</f>
        <v>-581.25</v>
      </c>
      <c r="M180" s="492">
        <f>-('Control Center'!$G$46)/12</f>
        <v>-581.25</v>
      </c>
      <c r="N180" s="492">
        <f>-('Control Center'!$G$46)/12</f>
        <v>-581.25</v>
      </c>
      <c r="O180" s="492">
        <f>-('Control Center'!$G$46)/12</f>
        <v>-581.25</v>
      </c>
      <c r="P180" s="492">
        <f>-('Control Center'!$G$46)/12</f>
        <v>-581.25</v>
      </c>
      <c r="Q180" s="492">
        <f>-('Control Center'!$G$46)/12</f>
        <v>-581.25</v>
      </c>
      <c r="R180" s="492">
        <f>-('Control Center'!$G$46)/12</f>
        <v>-581.25</v>
      </c>
      <c r="S180" s="492">
        <f>-('Control Center'!$G$46)/12</f>
        <v>-581.25</v>
      </c>
      <c r="T180" s="494">
        <f>SUM(H180:S180)</f>
        <v>-20892</v>
      </c>
    </row>
    <row r="181" spans="1:20" x14ac:dyDescent="0.3">
      <c r="A181" s="64"/>
      <c r="B181" s="398"/>
      <c r="C181" s="220" t="s">
        <v>154</v>
      </c>
      <c r="D181" s="27"/>
      <c r="E181" s="27"/>
      <c r="F181" s="27"/>
      <c r="G181" s="72"/>
      <c r="H181" s="490">
        <f>SUM(H180)</f>
        <v>-14498.25</v>
      </c>
      <c r="I181" s="491">
        <f>SUM(I180)</f>
        <v>-581.25</v>
      </c>
      <c r="J181" s="491">
        <f>SUM(J180)</f>
        <v>-581.25</v>
      </c>
      <c r="K181" s="491">
        <f>SUM(K180)</f>
        <v>-581.25</v>
      </c>
      <c r="L181" s="491">
        <f>SUM(L180)</f>
        <v>-581.25</v>
      </c>
      <c r="M181" s="491">
        <f>SUM(M180)</f>
        <v>-581.25</v>
      </c>
      <c r="N181" s="491">
        <f>SUM(N180)</f>
        <v>-581.25</v>
      </c>
      <c r="O181" s="491">
        <f>SUM(O180)</f>
        <v>-581.25</v>
      </c>
      <c r="P181" s="491">
        <f>SUM(P180)</f>
        <v>-581.25</v>
      </c>
      <c r="Q181" s="491">
        <f>SUM(Q180)</f>
        <v>-581.25</v>
      </c>
      <c r="R181" s="491">
        <f>SUM(R180)</f>
        <v>-581.25</v>
      </c>
      <c r="S181" s="491">
        <f>SUM(S180)</f>
        <v>-581.25</v>
      </c>
      <c r="T181" s="489">
        <f>SUM(T180)</f>
        <v>-20892</v>
      </c>
    </row>
    <row r="182" spans="1:20" x14ac:dyDescent="0.3">
      <c r="A182" s="64"/>
      <c r="B182" s="396"/>
      <c r="C182" s="12"/>
      <c r="D182" s="12"/>
      <c r="E182" s="12"/>
      <c r="F182" s="12"/>
      <c r="G182" s="115"/>
      <c r="H182" s="42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1"/>
    </row>
    <row r="183" spans="1:20" x14ac:dyDescent="0.3">
      <c r="A183" s="64"/>
      <c r="B183" s="33"/>
      <c r="C183" s="33" t="s">
        <v>155</v>
      </c>
      <c r="D183" s="33"/>
      <c r="E183" s="33"/>
      <c r="F183" s="33"/>
      <c r="G183" s="33"/>
      <c r="H183" s="147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9"/>
    </row>
    <row r="184" spans="1:20" x14ac:dyDescent="0.3">
      <c r="A184" s="64"/>
      <c r="B184" s="396"/>
      <c r="C184" s="12"/>
      <c r="D184" s="216" t="s">
        <v>156</v>
      </c>
      <c r="E184" s="12"/>
      <c r="F184" s="12"/>
      <c r="G184" s="115"/>
      <c r="H184" s="492">
        <f>'Control Center'!$G$50+('Control Center'!$G$52/12)</f>
        <v>70401.916666666672</v>
      </c>
      <c r="I184" s="492">
        <f>'Control Center'!$H$52/12</f>
        <v>-458.08333333333331</v>
      </c>
      <c r="J184" s="492">
        <f>'Control Center'!$H$52/12</f>
        <v>-458.08333333333331</v>
      </c>
      <c r="K184" s="492">
        <f>'Control Center'!$H$52/12</f>
        <v>-458.08333333333331</v>
      </c>
      <c r="L184" s="492">
        <f>'Control Center'!$H$52/12</f>
        <v>-458.08333333333331</v>
      </c>
      <c r="M184" s="492">
        <f>'Control Center'!$H$52/12</f>
        <v>-458.08333333333331</v>
      </c>
      <c r="N184" s="492">
        <f>'Control Center'!$H$52/12</f>
        <v>-458.08333333333331</v>
      </c>
      <c r="O184" s="492">
        <f>'Control Center'!$H$52/12</f>
        <v>-458.08333333333331</v>
      </c>
      <c r="P184" s="492">
        <f>'Control Center'!$H$52/12</f>
        <v>-458.08333333333331</v>
      </c>
      <c r="Q184" s="492">
        <f>'Control Center'!$H$52/12</f>
        <v>-458.08333333333331</v>
      </c>
      <c r="R184" s="492">
        <f>'Control Center'!$H$52/12</f>
        <v>-458.08333333333331</v>
      </c>
      <c r="S184" s="492">
        <f>'Control Center'!$H$52/12</f>
        <v>-458.08333333333331</v>
      </c>
      <c r="T184" s="494">
        <f>SUM(H184:S184)</f>
        <v>65363.000000000051</v>
      </c>
    </row>
    <row r="185" spans="1:20" x14ac:dyDescent="0.3">
      <c r="A185" s="64"/>
      <c r="B185" s="396"/>
      <c r="C185" s="12"/>
      <c r="D185" s="216" t="s">
        <v>157</v>
      </c>
      <c r="E185" s="12"/>
      <c r="F185" s="12"/>
      <c r="G185" s="115"/>
      <c r="H185" s="492">
        <f>'Control Center'!G51</f>
        <v>92803</v>
      </c>
      <c r="I185" s="493">
        <f>'Control Center'!$G$53/12</f>
        <v>0</v>
      </c>
      <c r="J185" s="493">
        <f>'Control Center'!$G$53/12</f>
        <v>0</v>
      </c>
      <c r="K185" s="493">
        <f>'Control Center'!$G$53/12</f>
        <v>0</v>
      </c>
      <c r="L185" s="493">
        <f>'Control Center'!$G$53/12</f>
        <v>0</v>
      </c>
      <c r="M185" s="493">
        <f>'Control Center'!$G$53/12</f>
        <v>0</v>
      </c>
      <c r="N185" s="493">
        <f>'Control Center'!$G$53/12</f>
        <v>0</v>
      </c>
      <c r="O185" s="493">
        <f>'Control Center'!$G$53/12</f>
        <v>0</v>
      </c>
      <c r="P185" s="493">
        <f>'Control Center'!$G$53/12</f>
        <v>0</v>
      </c>
      <c r="Q185" s="493">
        <f>'Control Center'!$G$53/12</f>
        <v>0</v>
      </c>
      <c r="R185" s="493">
        <f>'Control Center'!$G$53/12</f>
        <v>0</v>
      </c>
      <c r="S185" s="493">
        <f>'Control Center'!$G$53/12</f>
        <v>0</v>
      </c>
      <c r="T185" s="494">
        <f>SUM(H185:S185)</f>
        <v>92803</v>
      </c>
    </row>
    <row r="186" spans="1:20" x14ac:dyDescent="0.3">
      <c r="A186" s="64"/>
      <c r="B186" s="396"/>
      <c r="C186" s="12"/>
      <c r="D186" s="216" t="s">
        <v>87</v>
      </c>
      <c r="E186" s="12"/>
      <c r="F186" s="12"/>
      <c r="G186" s="115"/>
      <c r="H186" s="492">
        <f>-'Control Center'!$G$54*H135</f>
        <v>-427.53196242751153</v>
      </c>
      <c r="I186" s="493">
        <f>-'Control Center'!$G$54*I135</f>
        <v>-440.52477940502121</v>
      </c>
      <c r="J186" s="493">
        <f>-'Control Center'!$G$54*J135</f>
        <v>-453.51872068364634</v>
      </c>
      <c r="K186" s="493">
        <f>-'Control Center'!$G$54*K135</f>
        <v>-466.51129564314942</v>
      </c>
      <c r="L186" s="493">
        <f>-'Control Center'!$G$54*L135</f>
        <v>-530.41857609495446</v>
      </c>
      <c r="M186" s="493">
        <f>-'Control Center'!$G$54*M135</f>
        <v>-556.13982745089311</v>
      </c>
      <c r="N186" s="493">
        <f>-'Control Center'!$G$54*N135</f>
        <v>-505.49176504693622</v>
      </c>
      <c r="O186" s="493">
        <f>-'Control Center'!$G$54*O135</f>
        <v>-467.57237900832206</v>
      </c>
      <c r="P186" s="493">
        <f>-'Control Center'!$G$54*P135</f>
        <v>-378.74103194049849</v>
      </c>
      <c r="Q186" s="493">
        <f>-'Control Center'!$G$54*Q135</f>
        <v>-442.6469401763859</v>
      </c>
      <c r="R186" s="493">
        <f>-'Control Center'!$G$54*R135</f>
        <v>-506.55284841227285</v>
      </c>
      <c r="S186" s="493">
        <f>-'Control Center'!$G$54*S135</f>
        <v>-557.73145249889785</v>
      </c>
      <c r="T186" s="494">
        <f>SUM(H186:S186)</f>
        <v>-5733.3815787884905</v>
      </c>
    </row>
    <row r="187" spans="1:20" x14ac:dyDescent="0.3">
      <c r="A187" s="64"/>
      <c r="B187" s="398"/>
      <c r="C187" s="220" t="s">
        <v>158</v>
      </c>
      <c r="D187" s="27"/>
      <c r="E187" s="27"/>
      <c r="F187" s="27"/>
      <c r="G187" s="72"/>
      <c r="H187" s="490">
        <f>SUM(H184:H186)</f>
        <v>162777.38470423917</v>
      </c>
      <c r="I187" s="491">
        <f>SUM(I184:I186)</f>
        <v>-898.60811273835452</v>
      </c>
      <c r="J187" s="491">
        <f>SUM(J184:J186)</f>
        <v>-911.60205401697965</v>
      </c>
      <c r="K187" s="491">
        <f>SUM(K184:K186)</f>
        <v>-924.59462897648268</v>
      </c>
      <c r="L187" s="491">
        <f>SUM(L184:L186)</f>
        <v>-988.50190942828772</v>
      </c>
      <c r="M187" s="491">
        <f>SUM(M184:M186)</f>
        <v>-1014.2231607842264</v>
      </c>
      <c r="N187" s="491">
        <f>SUM(N184:N186)</f>
        <v>-963.57509838026954</v>
      </c>
      <c r="O187" s="491">
        <f>SUM(O184:O186)</f>
        <v>-925.65571234165532</v>
      </c>
      <c r="P187" s="491">
        <f>SUM(P184:P186)</f>
        <v>-836.82436527383175</v>
      </c>
      <c r="Q187" s="491">
        <f>SUM(Q184:Q186)</f>
        <v>-900.73027350971915</v>
      </c>
      <c r="R187" s="491">
        <f>SUM(R184:R186)</f>
        <v>-964.63618174560611</v>
      </c>
      <c r="S187" s="491">
        <f>SUM(S184:S186)</f>
        <v>-1015.8147858322311</v>
      </c>
      <c r="T187" s="489">
        <f>SUM(T184:T186)</f>
        <v>152432.61842121158</v>
      </c>
    </row>
    <row r="188" spans="1:20" x14ac:dyDescent="0.3">
      <c r="A188" s="64"/>
      <c r="B188" s="396"/>
      <c r="C188" s="12"/>
      <c r="D188" s="12"/>
      <c r="E188" s="12"/>
      <c r="F188" s="12"/>
      <c r="G188" s="115"/>
      <c r="H188" s="42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1"/>
    </row>
    <row r="189" spans="1:20" x14ac:dyDescent="0.3">
      <c r="A189" s="64"/>
      <c r="B189" s="396"/>
      <c r="C189" s="12"/>
      <c r="D189" s="216" t="s">
        <v>159</v>
      </c>
      <c r="E189" s="12"/>
      <c r="F189" s="12"/>
      <c r="G189" s="115"/>
      <c r="H189" s="498">
        <f>H177+H181+H187</f>
        <v>151862.60260970081</v>
      </c>
      <c r="I189" s="499">
        <f>I177+I181+I187</f>
        <v>2190.5805140925027</v>
      </c>
      <c r="J189" s="499">
        <f>J177+J181+J187</f>
        <v>2264.5648199782368</v>
      </c>
      <c r="K189" s="499">
        <f>K177+K181+K187</f>
        <v>2338.5413463789255</v>
      </c>
      <c r="L189" s="499">
        <f>L177+L181+L187</f>
        <v>2702.4136837927826</v>
      </c>
      <c r="M189" s="499">
        <f>M177+M181+M187</f>
        <v>2848.8641630797706</v>
      </c>
      <c r="N189" s="499">
        <f>N177+N181+N187</f>
        <v>2560.4865522329269</v>
      </c>
      <c r="O189" s="499">
        <f>O177+O181+O187</f>
        <v>2344.582894095347</v>
      </c>
      <c r="P189" s="499">
        <f>P177+P181+P187</f>
        <v>1838.7990512424674</v>
      </c>
      <c r="Q189" s="499">
        <f>Q177+Q181+Q187</f>
        <v>2202.6635755963762</v>
      </c>
      <c r="R189" s="499">
        <f>R177+R181+R187</f>
        <v>2566.528099950282</v>
      </c>
      <c r="S189" s="499">
        <f>S177+S181+S187</f>
        <v>2857.9264846558035</v>
      </c>
      <c r="T189" s="494">
        <f>T177+T181+T187</f>
        <v>178578.55379479629</v>
      </c>
    </row>
    <row r="190" spans="1:20" x14ac:dyDescent="0.3">
      <c r="A190" s="64"/>
      <c r="B190" s="396"/>
      <c r="C190" s="12"/>
      <c r="D190" s="216" t="s">
        <v>160</v>
      </c>
      <c r="E190" s="12"/>
      <c r="F190" s="12"/>
      <c r="G190" s="115"/>
      <c r="H190" s="509">
        <v>0</v>
      </c>
      <c r="I190" s="499">
        <f>H191</f>
        <v>151862.60260970081</v>
      </c>
      <c r="J190" s="499">
        <f>I191</f>
        <v>154053.18312379331</v>
      </c>
      <c r="K190" s="499">
        <f>J191</f>
        <v>156317.74794377154</v>
      </c>
      <c r="L190" s="499">
        <f>K191</f>
        <v>158656.28929015045</v>
      </c>
      <c r="M190" s="499">
        <f>L191</f>
        <v>161358.70297394323</v>
      </c>
      <c r="N190" s="499">
        <f>M191</f>
        <v>164207.567137023</v>
      </c>
      <c r="O190" s="499">
        <f>N191</f>
        <v>166768.05368925593</v>
      </c>
      <c r="P190" s="499">
        <f>O191</f>
        <v>169112.63658335127</v>
      </c>
      <c r="Q190" s="499">
        <f>P191</f>
        <v>170951.43563459374</v>
      </c>
      <c r="R190" s="499">
        <f>Q191</f>
        <v>173154.09921019012</v>
      </c>
      <c r="S190" s="499">
        <f>R191</f>
        <v>175720.62731014041</v>
      </c>
      <c r="T190" s="494">
        <f>H190</f>
        <v>0</v>
      </c>
    </row>
    <row r="191" spans="1:20" x14ac:dyDescent="0.3">
      <c r="A191" s="64"/>
      <c r="B191" s="398"/>
      <c r="C191" s="220" t="s">
        <v>161</v>
      </c>
      <c r="D191" s="27"/>
      <c r="E191" s="27"/>
      <c r="F191" s="27"/>
      <c r="G191" s="72"/>
      <c r="H191" s="490">
        <f>SUM(H189:H190)</f>
        <v>151862.60260970081</v>
      </c>
      <c r="I191" s="491">
        <f>SUM(I189:I190)</f>
        <v>154053.18312379331</v>
      </c>
      <c r="J191" s="491">
        <f>SUM(J189:J190)</f>
        <v>156317.74794377154</v>
      </c>
      <c r="K191" s="491">
        <f>SUM(K189:K190)</f>
        <v>158656.28929015045</v>
      </c>
      <c r="L191" s="491">
        <f>SUM(L189:L190)</f>
        <v>161358.70297394323</v>
      </c>
      <c r="M191" s="491">
        <f>SUM(M189:M190)</f>
        <v>164207.567137023</v>
      </c>
      <c r="N191" s="491">
        <f>SUM(N189:N190)</f>
        <v>166768.05368925593</v>
      </c>
      <c r="O191" s="491">
        <f>SUM(O189:O190)</f>
        <v>169112.63658335127</v>
      </c>
      <c r="P191" s="491">
        <f>SUM(P189:P190)</f>
        <v>170951.43563459374</v>
      </c>
      <c r="Q191" s="491">
        <f>SUM(Q189:Q190)</f>
        <v>173154.09921019012</v>
      </c>
      <c r="R191" s="491">
        <f>SUM(R189:R190)</f>
        <v>175720.62731014041</v>
      </c>
      <c r="S191" s="491">
        <f>SUM(S189:S190)</f>
        <v>178578.5537947962</v>
      </c>
      <c r="T191" s="489">
        <f>SUM(T189:T190)</f>
        <v>178578.55379479629</v>
      </c>
    </row>
    <row r="192" spans="1:20" x14ac:dyDescent="0.3">
      <c r="A192" s="64"/>
      <c r="B192" s="396"/>
      <c r="C192" s="396"/>
      <c r="D192" s="396"/>
      <c r="E192" s="396"/>
      <c r="F192" s="396"/>
      <c r="G192" s="396"/>
      <c r="H192" s="65"/>
      <c r="I192" s="396"/>
      <c r="J192" s="396"/>
      <c r="K192" s="396"/>
      <c r="L192" s="396"/>
      <c r="M192" s="396"/>
      <c r="N192" s="396"/>
      <c r="O192" s="396"/>
      <c r="P192" s="396"/>
      <c r="Q192" s="396"/>
      <c r="R192" s="396"/>
      <c r="S192" s="396"/>
      <c r="T192" s="396"/>
    </row>
    <row r="193" spans="1:20" x14ac:dyDescent="0.3">
      <c r="A193" s="64"/>
      <c r="B193" s="396"/>
      <c r="C193" s="396"/>
      <c r="D193" s="396"/>
      <c r="E193" s="396"/>
      <c r="F193" s="396"/>
      <c r="G193" s="396"/>
      <c r="H193" s="396"/>
      <c r="I193" s="396"/>
      <c r="J193" s="396"/>
      <c r="K193" s="396"/>
      <c r="L193" s="396"/>
      <c r="M193" s="396"/>
      <c r="N193" s="396"/>
      <c r="O193" s="396"/>
      <c r="P193" s="396"/>
      <c r="Q193" s="396"/>
      <c r="R193" s="396"/>
      <c r="S193" s="396"/>
      <c r="T193" s="396"/>
    </row>
    <row r="194" spans="1:20" x14ac:dyDescent="0.3">
      <c r="A194" s="64"/>
      <c r="B194" s="396"/>
      <c r="C194" s="396"/>
      <c r="D194" s="396"/>
      <c r="E194" s="396"/>
      <c r="F194" s="396"/>
      <c r="G194" s="396"/>
      <c r="H194" s="396"/>
      <c r="I194" s="396"/>
      <c r="J194" s="396"/>
      <c r="K194" s="396"/>
      <c r="L194" s="396"/>
      <c r="M194" s="396"/>
      <c r="N194" s="396"/>
      <c r="O194" s="396"/>
      <c r="P194" s="396"/>
      <c r="Q194" s="396"/>
      <c r="R194" s="396"/>
      <c r="S194" s="396"/>
      <c r="T194" s="396"/>
    </row>
    <row r="195" spans="1:20" x14ac:dyDescent="0.3">
      <c r="A195" s="64"/>
      <c r="B195" s="396"/>
      <c r="C195" s="396"/>
      <c r="D195" s="396"/>
      <c r="E195" s="39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</row>
    <row r="196" spans="1:20" x14ac:dyDescent="0.3">
      <c r="A196" s="64"/>
      <c r="B196" s="396"/>
      <c r="C196" s="396"/>
      <c r="D196" s="396"/>
      <c r="E196" s="39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</row>
    <row r="197" spans="1:20" x14ac:dyDescent="0.3">
      <c r="A197" s="64"/>
      <c r="B197" s="396"/>
      <c r="C197" s="396"/>
      <c r="D197" s="396"/>
      <c r="E197" s="396"/>
      <c r="F197" s="396"/>
      <c r="G197" s="396"/>
      <c r="H197" s="396"/>
      <c r="I197" s="396"/>
      <c r="J197" s="396"/>
      <c r="K197" s="396"/>
      <c r="L197" s="396"/>
      <c r="M197" s="396"/>
      <c r="N197" s="396"/>
      <c r="O197" s="396"/>
      <c r="P197" s="396"/>
      <c r="Q197" s="396"/>
      <c r="R197" s="396"/>
      <c r="S197" s="396"/>
      <c r="T197" s="396"/>
    </row>
    <row r="198" spans="1:20" x14ac:dyDescent="0.3">
      <c r="A198" s="64"/>
      <c r="B198" s="396"/>
      <c r="C198" s="396"/>
      <c r="D198" s="396"/>
      <c r="E198" s="396"/>
      <c r="F198" s="396"/>
      <c r="G198" s="396"/>
      <c r="H198" s="396"/>
      <c r="I198" s="396"/>
      <c r="J198" s="396"/>
      <c r="K198" s="396"/>
      <c r="L198" s="396"/>
      <c r="M198" s="396"/>
      <c r="N198" s="396"/>
      <c r="O198" s="396"/>
      <c r="P198" s="396"/>
      <c r="Q198" s="396"/>
      <c r="R198" s="396"/>
      <c r="S198" s="396"/>
      <c r="T198" s="396"/>
    </row>
    <row r="199" spans="1:20" x14ac:dyDescent="0.3">
      <c r="A199" s="64"/>
      <c r="B199" s="396"/>
      <c r="C199" s="396"/>
      <c r="D199" s="396"/>
      <c r="E199" s="396"/>
      <c r="F199" s="396"/>
      <c r="G199" s="396"/>
      <c r="H199" s="396"/>
      <c r="I199" s="396"/>
      <c r="J199" s="396"/>
      <c r="K199" s="396"/>
      <c r="L199" s="396"/>
      <c r="M199" s="396"/>
      <c r="N199" s="396"/>
      <c r="O199" s="396"/>
      <c r="P199" s="396"/>
      <c r="Q199" s="396"/>
      <c r="R199" s="396"/>
      <c r="S199" s="396"/>
      <c r="T199" s="396"/>
    </row>
    <row r="200" spans="1:20" x14ac:dyDescent="0.3">
      <c r="A200" s="64"/>
      <c r="B200" s="396"/>
      <c r="C200" s="396"/>
      <c r="D200" s="396"/>
      <c r="E200" s="396"/>
      <c r="F200" s="396"/>
      <c r="G200" s="396"/>
      <c r="H200" s="396"/>
      <c r="I200" s="396"/>
      <c r="J200" s="396"/>
      <c r="K200" s="396"/>
      <c r="L200" s="396"/>
      <c r="M200" s="396"/>
      <c r="N200" s="396"/>
      <c r="O200" s="396"/>
      <c r="P200" s="396"/>
      <c r="Q200" s="396"/>
      <c r="R200" s="396"/>
      <c r="S200" s="396"/>
      <c r="T200" s="396"/>
    </row>
    <row r="201" spans="1:20" x14ac:dyDescent="0.3">
      <c r="A201" s="64"/>
      <c r="B201" s="396"/>
      <c r="C201" s="396"/>
      <c r="D201" s="396"/>
      <c r="E201" s="396"/>
      <c r="F201" s="396"/>
      <c r="G201" s="396"/>
      <c r="H201" s="396"/>
      <c r="I201" s="396"/>
      <c r="J201" s="396"/>
      <c r="K201" s="396"/>
      <c r="L201" s="396"/>
      <c r="M201" s="396"/>
      <c r="N201" s="396"/>
      <c r="O201" s="396"/>
      <c r="P201" s="396"/>
      <c r="Q201" s="396"/>
      <c r="R201" s="396"/>
      <c r="S201" s="396"/>
      <c r="T201" s="396"/>
    </row>
    <row r="202" spans="1:20" x14ac:dyDescent="0.3">
      <c r="A202" s="64"/>
      <c r="B202" s="396"/>
      <c r="C202" s="396"/>
      <c r="D202" s="396"/>
      <c r="E202" s="39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</row>
    <row r="203" spans="1:20" x14ac:dyDescent="0.3">
      <c r="A203" s="64"/>
      <c r="B203" s="396"/>
      <c r="C203" s="396"/>
      <c r="D203" s="396"/>
      <c r="E203" s="396"/>
      <c r="F203" s="396"/>
      <c r="G203" s="396"/>
      <c r="H203" s="396"/>
      <c r="I203" s="396"/>
      <c r="J203" s="396"/>
      <c r="K203" s="396"/>
      <c r="L203" s="396"/>
      <c r="M203" s="396"/>
      <c r="N203" s="396"/>
      <c r="O203" s="396"/>
      <c r="P203" s="396"/>
      <c r="Q203" s="396"/>
      <c r="R203" s="396"/>
      <c r="S203" s="396"/>
      <c r="T203" s="396"/>
    </row>
    <row r="204" spans="1:20" x14ac:dyDescent="0.3">
      <c r="A204" s="64"/>
      <c r="B204" s="396"/>
      <c r="C204" s="396"/>
      <c r="D204" s="396"/>
      <c r="E204" s="396"/>
      <c r="F204" s="396"/>
      <c r="G204" s="396"/>
      <c r="H204" s="396"/>
      <c r="I204" s="396"/>
      <c r="J204" s="396"/>
      <c r="K204" s="396"/>
      <c r="L204" s="396"/>
      <c r="M204" s="396"/>
      <c r="N204" s="396"/>
      <c r="O204" s="396"/>
      <c r="P204" s="396"/>
      <c r="Q204" s="396"/>
      <c r="R204" s="396"/>
      <c r="S204" s="396"/>
      <c r="T204" s="396"/>
    </row>
    <row r="205" spans="1:20" x14ac:dyDescent="0.3">
      <c r="A205" s="64"/>
      <c r="B205" s="396"/>
      <c r="C205" s="396"/>
      <c r="D205" s="396"/>
      <c r="E205" s="396"/>
      <c r="F205" s="396"/>
      <c r="G205" s="396"/>
      <c r="H205" s="396"/>
      <c r="I205" s="396"/>
      <c r="J205" s="396"/>
      <c r="K205" s="396"/>
      <c r="L205" s="396"/>
      <c r="M205" s="396"/>
      <c r="N205" s="396"/>
      <c r="O205" s="396"/>
      <c r="P205" s="396"/>
      <c r="Q205" s="396"/>
      <c r="R205" s="396"/>
      <c r="S205" s="396"/>
      <c r="T205" s="396"/>
    </row>
    <row r="206" spans="1:20" x14ac:dyDescent="0.3">
      <c r="A206" s="64"/>
      <c r="B206" s="396"/>
      <c r="C206" s="396"/>
      <c r="D206" s="396"/>
      <c r="E206" s="396"/>
      <c r="F206" s="396"/>
      <c r="G206" s="396"/>
      <c r="H206" s="168"/>
      <c r="I206" s="396"/>
      <c r="J206" s="396"/>
      <c r="K206" s="396"/>
      <c r="L206" s="396"/>
      <c r="M206" s="396"/>
      <c r="N206" s="396"/>
      <c r="O206" s="396"/>
      <c r="P206" s="396"/>
      <c r="Q206" s="396"/>
      <c r="R206" s="396"/>
      <c r="S206" s="396"/>
      <c r="T206" s="396"/>
    </row>
    <row r="210" spans="1:17" x14ac:dyDescent="0.3">
      <c r="A210" s="211" t="s">
        <v>0</v>
      </c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</row>
    <row r="211" spans="1:17" ht="18" x14ac:dyDescent="0.3">
      <c r="A211" s="199" t="s">
        <v>38</v>
      </c>
      <c r="B211" s="449" t="str">
        <f>'Control Center'!F6</f>
        <v/>
      </c>
      <c r="C211" s="450"/>
      <c r="D211" s="450"/>
      <c r="E211" s="450"/>
      <c r="F211" s="450"/>
      <c r="G211" s="450"/>
      <c r="H211" s="450"/>
      <c r="I211" s="450"/>
      <c r="J211" s="450"/>
      <c r="K211" s="450"/>
      <c r="L211" s="450"/>
      <c r="M211" s="450"/>
      <c r="N211" s="450"/>
      <c r="O211" s="450"/>
      <c r="P211" s="450"/>
      <c r="Q211" s="450"/>
    </row>
    <row r="212" spans="1:17" x14ac:dyDescent="0.3">
      <c r="A212" s="64"/>
      <c r="B212" s="396"/>
      <c r="C212" s="396"/>
      <c r="D212" s="396"/>
      <c r="E212" s="396"/>
      <c r="F212" s="396"/>
      <c r="G212" s="396"/>
      <c r="H212" s="396"/>
      <c r="I212" s="396"/>
      <c r="J212" s="396"/>
      <c r="K212" s="396"/>
      <c r="L212" s="396"/>
      <c r="M212" s="396"/>
      <c r="N212" s="396"/>
      <c r="O212" s="396"/>
      <c r="P212" s="396"/>
      <c r="Q212" s="396"/>
    </row>
    <row r="213" spans="1:17" x14ac:dyDescent="0.3">
      <c r="A213" s="64"/>
      <c r="B213" s="55"/>
      <c r="C213" s="55" t="s">
        <v>33</v>
      </c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</row>
    <row r="214" spans="1:17" x14ac:dyDescent="0.3">
      <c r="A214" s="64"/>
      <c r="B214" s="396"/>
      <c r="C214" s="262" t="str">
        <f>'Formula Audit'!A3</f>
        <v>Figures in USD</v>
      </c>
      <c r="D214" s="180"/>
      <c r="E214" s="180"/>
      <c r="F214" s="115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</row>
    <row r="215" spans="1:17" x14ac:dyDescent="0.3">
      <c r="A215" s="67"/>
      <c r="B215" s="107"/>
      <c r="C215" s="107"/>
      <c r="D215" s="107"/>
      <c r="E215" s="161" t="s">
        <v>50</v>
      </c>
      <c r="F215" s="362" t="str">
        <f>'Control Center'!E25</f>
        <v>Central Case</v>
      </c>
      <c r="G215" s="107"/>
      <c r="H215" s="451" t="s">
        <v>163</v>
      </c>
      <c r="I215" s="451"/>
      <c r="J215" s="451"/>
      <c r="K215" s="451"/>
      <c r="L215" s="451"/>
      <c r="M215" s="451"/>
      <c r="N215" s="451"/>
      <c r="O215" s="451"/>
      <c r="P215" s="451"/>
      <c r="Q215" s="451"/>
    </row>
    <row r="216" spans="1:17" x14ac:dyDescent="0.3">
      <c r="A216" s="64"/>
      <c r="B216" s="396"/>
      <c r="C216" s="263" t="s">
        <v>54</v>
      </c>
      <c r="D216" s="8"/>
      <c r="E216" s="8"/>
      <c r="F216" s="8"/>
      <c r="G216" s="396"/>
      <c r="H216" s="349">
        <f>'Formula Audit'!C9</f>
        <v>2025</v>
      </c>
      <c r="I216" s="349">
        <f>'Formula Audit'!D9</f>
        <v>2026</v>
      </c>
      <c r="J216" s="349">
        <f>'Formula Audit'!E9</f>
        <v>2027</v>
      </c>
      <c r="K216" s="349">
        <f>'Formula Audit'!F9</f>
        <v>2028</v>
      </c>
      <c r="L216" s="349">
        <f>'Formula Audit'!G9</f>
        <v>2029</v>
      </c>
      <c r="M216" s="349">
        <f>'Formula Audit'!H9</f>
        <v>2030</v>
      </c>
      <c r="N216" s="349">
        <f>'Formula Audit'!I9</f>
        <v>2031</v>
      </c>
      <c r="O216" s="349">
        <f>'Formula Audit'!J9</f>
        <v>2032</v>
      </c>
      <c r="P216" s="349">
        <f>'Formula Audit'!K9</f>
        <v>2033</v>
      </c>
      <c r="Q216" s="349">
        <f>'Formula Audit'!L9</f>
        <v>2034</v>
      </c>
    </row>
    <row r="217" spans="1:17" x14ac:dyDescent="0.3">
      <c r="A217" s="64"/>
      <c r="B217" s="396"/>
      <c r="C217" s="12"/>
      <c r="D217" s="216" t="s">
        <v>119</v>
      </c>
      <c r="E217" s="12"/>
      <c r="F217" s="12"/>
      <c r="G217" s="12"/>
      <c r="H217" s="305">
        <f>'Forecast Model'!T108</f>
        <v>193104.15273599999</v>
      </c>
      <c r="I217" s="306">
        <f>(H217*(1+'Control Center'!H28))*'Formula Audit'!D$8</f>
        <v>206045.79994821397</v>
      </c>
      <c r="J217" s="306">
        <f>(I217*(1+'Control Center'!I28))*'Formula Audit'!E$8</f>
        <v>217553.25182952179</v>
      </c>
      <c r="K217" s="306">
        <f>(J217*(1+'Control Center'!J28))*'Formula Audit'!F$8</f>
        <v>227273.31356801296</v>
      </c>
      <c r="L217" s="306">
        <f>(K217*(1+'Control Center'!K28))*'Formula Audit'!G$8</f>
        <v>234889.24230567706</v>
      </c>
      <c r="M217" s="306">
        <f>(L217*(1+'Control Center'!L28))*'Formula Audit'!H$8</f>
        <v>242760.38081534029</v>
      </c>
      <c r="N217" s="306">
        <f>(M217*(1+'Control Center'!M28))*'Formula Audit'!I$8</f>
        <v>248183.64772275501</v>
      </c>
      <c r="O217" s="306">
        <f>(N217*(1+'Control Center'!N28))*'Formula Audit'!J$8</f>
        <v>253728.07041288135</v>
      </c>
      <c r="P217" s="306">
        <f>(O217*(1+'Control Center'!O28))*'Formula Audit'!K$8</f>
        <v>259396.35550590511</v>
      </c>
      <c r="Q217" s="307">
        <f>(P217*(1+'Control Center'!P28))*'Formula Audit'!L$8</f>
        <v>265191.27008790703</v>
      </c>
    </row>
    <row r="218" spans="1:17" x14ac:dyDescent="0.3">
      <c r="A218" s="64"/>
      <c r="B218" s="396"/>
      <c r="C218" s="12"/>
      <c r="D218" s="216" t="s">
        <v>120</v>
      </c>
      <c r="E218" s="12"/>
      <c r="F218" s="12"/>
      <c r="G218" s="12"/>
      <c r="H218" s="305">
        <f>'Forecast Model'!T109</f>
        <v>208941.07132800002</v>
      </c>
      <c r="I218" s="306">
        <f>(H218*(1+'Control Center'!H28))*'Formula Audit'!D$8</f>
        <v>222944.09298733124</v>
      </c>
      <c r="J218" s="306">
        <f>(I218*(1+'Control Center'!I28))*'Formula Audit'!E$8</f>
        <v>235395.29763658071</v>
      </c>
      <c r="K218" s="306">
        <f>(J218*(1+'Control Center'!J28))*'Formula Audit'!F$8</f>
        <v>245912.52413968547</v>
      </c>
      <c r="L218" s="306">
        <f>(K218*(1+'Control Center'!K28))*'Formula Audit'!G$8</f>
        <v>254153.05282360633</v>
      </c>
      <c r="M218" s="306">
        <f>(L218*(1+'Control Center'!L28))*'Formula Audit'!H$8</f>
        <v>262669.72162372537</v>
      </c>
      <c r="N218" s="306">
        <f>(M218*(1+'Control Center'!M28))*'Formula Audit'!I$8</f>
        <v>268537.76320479938</v>
      </c>
      <c r="O218" s="306">
        <f>(N218*(1+'Control Center'!N28))*'Formula Audit'!J$8</f>
        <v>274536.89683479461</v>
      </c>
      <c r="P218" s="306">
        <f>(O218*(1+'Control Center'!O28))*'Formula Audit'!K$8</f>
        <v>280670.05111008394</v>
      </c>
      <c r="Q218" s="307">
        <f>(P218*(1+'Control Center'!P28))*'Formula Audit'!L$8</f>
        <v>286940.2200518832</v>
      </c>
    </row>
    <row r="219" spans="1:17" x14ac:dyDescent="0.3">
      <c r="A219" s="64"/>
      <c r="B219" s="398"/>
      <c r="C219" s="220" t="s">
        <v>98</v>
      </c>
      <c r="D219" s="27"/>
      <c r="E219" s="27"/>
      <c r="F219" s="27"/>
      <c r="G219" s="27"/>
      <c r="H219" s="318">
        <f>SUM(H217:H218)</f>
        <v>402045.22406400001</v>
      </c>
      <c r="I219" s="299">
        <f>SUM(I217:I218)</f>
        <v>428989.89293554518</v>
      </c>
      <c r="J219" s="299">
        <f>SUM(J217:J218)</f>
        <v>452948.5494661025</v>
      </c>
      <c r="K219" s="299">
        <f>SUM(K217:K218)</f>
        <v>473185.83770769846</v>
      </c>
      <c r="L219" s="299">
        <f>SUM(L217:L218)</f>
        <v>489042.29512928339</v>
      </c>
      <c r="M219" s="299">
        <f>SUM(M217:M218)</f>
        <v>505430.1024390657</v>
      </c>
      <c r="N219" s="299">
        <f>SUM(N217:N218)</f>
        <v>516721.41092755436</v>
      </c>
      <c r="O219" s="299">
        <f>SUM(O217:O218)</f>
        <v>528264.96724767599</v>
      </c>
      <c r="P219" s="299">
        <f>SUM(P217:P218)</f>
        <v>540066.40661598905</v>
      </c>
      <c r="Q219" s="300">
        <f>SUM(Q217:Q218)</f>
        <v>552131.49013979023</v>
      </c>
    </row>
    <row r="220" spans="1:17" x14ac:dyDescent="0.3">
      <c r="A220" s="64"/>
      <c r="B220" s="396"/>
      <c r="C220" s="12"/>
      <c r="D220" s="12"/>
      <c r="E220" s="12"/>
      <c r="F220" s="12"/>
      <c r="G220" s="12"/>
      <c r="H220" s="89"/>
      <c r="I220" s="90"/>
      <c r="J220" s="90"/>
      <c r="K220" s="90"/>
      <c r="L220" s="90"/>
      <c r="M220" s="90"/>
      <c r="N220" s="90"/>
      <c r="O220" s="90"/>
      <c r="P220" s="90"/>
      <c r="Q220" s="91"/>
    </row>
    <row r="221" spans="1:17" x14ac:dyDescent="0.3">
      <c r="A221" s="64"/>
      <c r="B221" s="396"/>
      <c r="C221" s="12"/>
      <c r="D221" s="216" t="s">
        <v>57</v>
      </c>
      <c r="E221" s="12"/>
      <c r="F221" s="12"/>
      <c r="G221" s="12"/>
      <c r="H221" s="305">
        <f>'Forecast Model'!T112</f>
        <v>29590.151453544535</v>
      </c>
      <c r="I221" s="306">
        <f>I$217*'Control Center'!H29*'Formula Audit'!D$8</f>
        <v>54796.438175627867</v>
      </c>
      <c r="J221" s="306">
        <f>J$217*'Control Center'!I29*'Formula Audit'!E$8</f>
        <v>57856.764451298506</v>
      </c>
      <c r="K221" s="306">
        <f>K$217*'Control Center'!J29*'Formula Audit'!F$8</f>
        <v>58024.01332048155</v>
      </c>
      <c r="L221" s="306">
        <f>L$217*'Control Center'!K29*'Formula Audit'!G$8</f>
        <v>59968.398006850883</v>
      </c>
      <c r="M221" s="306">
        <f>M$217*'Control Center'!L29*'Formula Audit'!H$8</f>
        <v>59395.696853327681</v>
      </c>
      <c r="N221" s="306">
        <f>N$217*'Control Center'!M29*'Formula Audit'!I$8</f>
        <v>60722.596721031019</v>
      </c>
      <c r="O221" s="306">
        <f>O$217*'Control Center'!N29*'Formula Audit'!J$8</f>
        <v>59379.980318726622</v>
      </c>
      <c r="P221" s="306">
        <f>P$217*'Control Center'!O29*'Formula Audit'!K$8</f>
        <v>60706.529079046973</v>
      </c>
      <c r="Q221" s="307">
        <f>Q$217*'Control Center'!P29*'Formula Audit'!L$8</f>
        <v>59241.60820747773</v>
      </c>
    </row>
    <row r="222" spans="1:17" x14ac:dyDescent="0.3">
      <c r="A222" s="64"/>
      <c r="B222" s="396"/>
      <c r="C222" s="12"/>
      <c r="D222" s="216" t="s">
        <v>59</v>
      </c>
      <c r="E222" s="12"/>
      <c r="F222" s="12"/>
      <c r="G222" s="12"/>
      <c r="H222" s="305">
        <f>'Forecast Model'!T113</f>
        <v>61511.005708942423</v>
      </c>
      <c r="I222" s="306">
        <f>I$218*'Control Center'!H30*'Formula Audit'!D$8</f>
        <v>75016.22840837721</v>
      </c>
      <c r="J222" s="306">
        <f>J$218*'Control Center'!I30*'Formula Audit'!E$8</f>
        <v>75245.519261318841</v>
      </c>
      <c r="K222" s="306">
        <f>K$218*'Control Center'!J30*'Formula Audit'!F$8</f>
        <v>76538.797663332269</v>
      </c>
      <c r="L222" s="306">
        <f>L$218*'Control Center'!K30*'Formula Audit'!G$8</f>
        <v>76965.677292678345</v>
      </c>
      <c r="M222" s="306">
        <f>M$218*'Control Center'!L30*'Formula Audit'!H$8</f>
        <v>77335.219440457222</v>
      </c>
      <c r="N222" s="306">
        <f>N$218*'Control Center'!M30*'Formula Audit'!I$8</f>
        <v>79062.888242757035</v>
      </c>
      <c r="O222" s="306">
        <f>O$218*'Control Center'!N30*'Formula Audit'!J$8</f>
        <v>78519.748789925929</v>
      </c>
      <c r="P222" s="306">
        <f>P$218*'Control Center'!O30*'Formula Audit'!K$8</f>
        <v>80273.879977892881</v>
      </c>
      <c r="Q222" s="307">
        <f>Q$218*'Control Center'!P30*'Formula Audit'!L$8</f>
        <v>82067.198456598999</v>
      </c>
    </row>
    <row r="223" spans="1:17" x14ac:dyDescent="0.3">
      <c r="A223" s="64"/>
      <c r="B223" s="396"/>
      <c r="C223" s="12"/>
      <c r="D223" s="216" t="s">
        <v>61</v>
      </c>
      <c r="E223" s="12"/>
      <c r="F223" s="12"/>
      <c r="G223" s="12"/>
      <c r="H223" s="305">
        <f>'Forecast Model'!T114</f>
        <v>76577.151782246016</v>
      </c>
      <c r="I223" s="306">
        <f>I$219*'Control Center'!H31*'Formula Audit'!D$8</f>
        <v>81709.275917540363</v>
      </c>
      <c r="J223" s="306">
        <f>J$219*'Control Center'!I31*'Formula Audit'!E$8</f>
        <v>86272.657268259078</v>
      </c>
      <c r="K223" s="306">
        <f>K$219*'Control Center'!J31*'Formula Audit'!F$8</f>
        <v>90127.233322347616</v>
      </c>
      <c r="L223" s="306">
        <f>L$219*'Control Center'!K31*'Formula Audit'!G$8</f>
        <v>93147.396910979471</v>
      </c>
      <c r="M223" s="306">
        <f>M$219*'Control Center'!L31*'Formula Audit'!H$8</f>
        <v>96268.766181466402</v>
      </c>
      <c r="N223" s="306">
        <f>N$219*'Control Center'!M31*'Formula Audit'!I$8</f>
        <v>98419.410417960346</v>
      </c>
      <c r="O223" s="306">
        <f>O$219*'Control Center'!N31*'Formula Audit'!J$8</f>
        <v>100618.1000466976</v>
      </c>
      <c r="P223" s="306">
        <f>P$219*'Control Center'!O31*'Formula Audit'!K$8</f>
        <v>102865.90840174082</v>
      </c>
      <c r="Q223" s="307">
        <f>Q$219*'Control Center'!P31*'Formula Audit'!L$8</f>
        <v>105163.9327954357</v>
      </c>
    </row>
    <row r="224" spans="1:17" x14ac:dyDescent="0.3">
      <c r="A224" s="64"/>
      <c r="B224" s="396"/>
      <c r="C224" s="12"/>
      <c r="D224" s="216" t="s">
        <v>63</v>
      </c>
      <c r="E224" s="12"/>
      <c r="F224" s="12"/>
      <c r="G224" s="12"/>
      <c r="H224" s="305">
        <f>'Forecast Model'!T115</f>
        <v>55157.790425012361</v>
      </c>
      <c r="I224" s="306">
        <f>I$219*'Control Center'!H32*'Formula Audit'!D$8</f>
        <v>53949.768935574168</v>
      </c>
      <c r="J224" s="306">
        <f>J$219*'Control Center'!I32*'Formula Audit'!E$8</f>
        <v>51784.248814811101</v>
      </c>
      <c r="K224" s="306">
        <f>K$219*'Control Center'!J32*'Formula Audit'!F$8</f>
        <v>48688.456770933633</v>
      </c>
      <c r="L224" s="306">
        <f>L$219*'Control Center'!K32*'Formula Audit'!G$8</f>
        <v>50320.006957327612</v>
      </c>
      <c r="M224" s="306">
        <f>M$219*'Control Center'!L32*'Formula Audit'!H$8</f>
        <v>46227.648029281831</v>
      </c>
      <c r="N224" s="306">
        <f>N$219*'Control Center'!M32*'Formula Audit'!I$8</f>
        <v>47260.373686255974</v>
      </c>
      <c r="O224" s="306">
        <f>O$219*'Control Center'!N32*'Formula Audit'!J$8</f>
        <v>42276.517063864267</v>
      </c>
      <c r="P224" s="306">
        <f>P$219*'Control Center'!O32*'Formula Audit'!K$8</f>
        <v>43220.974455070987</v>
      </c>
      <c r="Q224" s="307">
        <f>Q$219*'Control Center'!P32*'Formula Audit'!L$8</f>
        <v>44186.531024397271</v>
      </c>
    </row>
    <row r="225" spans="1:17" x14ac:dyDescent="0.3">
      <c r="A225" s="64"/>
      <c r="B225" s="398"/>
      <c r="C225" s="220" t="s">
        <v>121</v>
      </c>
      <c r="D225" s="27"/>
      <c r="E225" s="27"/>
      <c r="F225" s="27"/>
      <c r="G225" s="27"/>
      <c r="H225" s="318">
        <f>SUM(H221:H224)</f>
        <v>222836.09936974532</v>
      </c>
      <c r="I225" s="299">
        <f>SUM(I221:I224)</f>
        <v>265471.71143711964</v>
      </c>
      <c r="J225" s="299">
        <f>SUM(J221:J224)</f>
        <v>271159.18979568756</v>
      </c>
      <c r="K225" s="299">
        <f>SUM(K221:K224)</f>
        <v>273378.5010770951</v>
      </c>
      <c r="L225" s="299">
        <f>SUM(L221:L224)</f>
        <v>280401.47916783631</v>
      </c>
      <c r="M225" s="299">
        <f>SUM(M221:M224)</f>
        <v>279227.33050453314</v>
      </c>
      <c r="N225" s="299">
        <f>SUM(N221:N224)</f>
        <v>285465.26906800439</v>
      </c>
      <c r="O225" s="299">
        <f>SUM(O221:O224)</f>
        <v>280794.34621921444</v>
      </c>
      <c r="P225" s="299">
        <f>SUM(P221:P224)</f>
        <v>287067.29191375163</v>
      </c>
      <c r="Q225" s="300">
        <f>SUM(Q221:Q224)</f>
        <v>290659.2704839097</v>
      </c>
    </row>
    <row r="226" spans="1:17" x14ac:dyDescent="0.3">
      <c r="A226" s="64"/>
      <c r="B226" s="396"/>
      <c r="C226" s="12"/>
      <c r="D226" s="12"/>
      <c r="E226" s="12"/>
      <c r="F226" s="12"/>
      <c r="G226" s="12"/>
      <c r="H226" s="89"/>
      <c r="I226" s="90"/>
      <c r="J226" s="90"/>
      <c r="K226" s="90"/>
      <c r="L226" s="90"/>
      <c r="M226" s="90"/>
      <c r="N226" s="90"/>
      <c r="O226" s="90"/>
      <c r="P226" s="90"/>
      <c r="Q226" s="91"/>
    </row>
    <row r="227" spans="1:17" x14ac:dyDescent="0.3">
      <c r="A227" s="64"/>
      <c r="B227" s="398"/>
      <c r="C227" s="220" t="s">
        <v>122</v>
      </c>
      <c r="D227" s="27"/>
      <c r="E227" s="27"/>
      <c r="F227" s="27"/>
      <c r="G227" s="27"/>
      <c r="H227" s="318">
        <f>H219-H225</f>
        <v>179209.12469425469</v>
      </c>
      <c r="I227" s="299">
        <f>I219-I225</f>
        <v>163518.18149842555</v>
      </c>
      <c r="J227" s="299">
        <f>J219-J225</f>
        <v>181789.35967041494</v>
      </c>
      <c r="K227" s="299">
        <f>K219-K225</f>
        <v>199807.33663060336</v>
      </c>
      <c r="L227" s="299">
        <f>L219-L225</f>
        <v>208640.81596144708</v>
      </c>
      <c r="M227" s="299">
        <f>M219-M225</f>
        <v>226202.77193453256</v>
      </c>
      <c r="N227" s="299">
        <f>N219-N225</f>
        <v>231256.14185954997</v>
      </c>
      <c r="O227" s="299">
        <f>O219-O225</f>
        <v>247470.62102846155</v>
      </c>
      <c r="P227" s="299">
        <f>P219-P225</f>
        <v>252999.11470223742</v>
      </c>
      <c r="Q227" s="300">
        <f>Q219-Q225</f>
        <v>261472.21965588053</v>
      </c>
    </row>
    <row r="228" spans="1:17" x14ac:dyDescent="0.3">
      <c r="A228" s="156"/>
      <c r="B228" s="400"/>
      <c r="C228" s="319" t="s">
        <v>123</v>
      </c>
      <c r="D228" s="157"/>
      <c r="E228" s="157"/>
      <c r="F228" s="157"/>
      <c r="G228" s="157"/>
      <c r="H228" s="320">
        <f>IFERROR(H227/H219,0)</f>
        <v>0.44574369739491565</v>
      </c>
      <c r="I228" s="320">
        <f>IFERROR(I227/I219,0)</f>
        <v>0.38117024244903086</v>
      </c>
      <c r="J228" s="320">
        <f>IFERROR(J227/J219,0)</f>
        <v>0.40134659860307065</v>
      </c>
      <c r="K228" s="320">
        <f>IFERROR(K227/K219,0)</f>
        <v>0.42225975654417308</v>
      </c>
      <c r="L228" s="320">
        <f>IFERROR(L227/L219,0)</f>
        <v>0.42663143462119307</v>
      </c>
      <c r="M228" s="320">
        <f>IFERROR(M227/M219,0)</f>
        <v>0.44754511225773974</v>
      </c>
      <c r="N228" s="320">
        <f>IFERROR(N227/N219,0)</f>
        <v>0.44754511225773974</v>
      </c>
      <c r="O228" s="320">
        <f>IFERROR(O227/O219,0)</f>
        <v>0.46845927019884215</v>
      </c>
      <c r="P228" s="320">
        <f>IFERROR(P227/P219,0)</f>
        <v>0.46845927019884226</v>
      </c>
      <c r="Q228" s="322">
        <f>IFERROR(Q227/Q219,0)</f>
        <v>0.47356875006292476</v>
      </c>
    </row>
    <row r="229" spans="1:17" x14ac:dyDescent="0.3">
      <c r="A229" s="64"/>
      <c r="B229" s="396"/>
      <c r="C229" s="12"/>
      <c r="D229" s="12"/>
      <c r="E229" s="12"/>
      <c r="F229" s="12"/>
      <c r="G229" s="12"/>
      <c r="H229" s="89"/>
      <c r="I229" s="90"/>
      <c r="J229" s="90"/>
      <c r="K229" s="90"/>
      <c r="L229" s="90"/>
      <c r="M229" s="90"/>
      <c r="N229" s="90"/>
      <c r="O229" s="90"/>
      <c r="P229" s="90"/>
      <c r="Q229" s="91"/>
    </row>
    <row r="230" spans="1:17" x14ac:dyDescent="0.3">
      <c r="A230" s="64"/>
      <c r="B230" s="396"/>
      <c r="C230" s="12"/>
      <c r="D230" s="216" t="s">
        <v>64</v>
      </c>
      <c r="E230" s="12"/>
      <c r="F230" s="12"/>
      <c r="G230" s="12"/>
      <c r="H230" s="305">
        <f>'Forecast Model'!T121</f>
        <v>58749</v>
      </c>
      <c r="I230" s="306">
        <f>'Control Center'!H33*'Formula Audit'!D$8</f>
        <v>58749</v>
      </c>
      <c r="J230" s="306">
        <f>'Control Center'!I33*'Formula Audit'!E$8</f>
        <v>58749</v>
      </c>
      <c r="K230" s="306">
        <f>'Control Center'!J33*'Formula Audit'!F$8</f>
        <v>58749</v>
      </c>
      <c r="L230" s="306">
        <f>'Control Center'!K33*'Formula Audit'!G$8</f>
        <v>58749</v>
      </c>
      <c r="M230" s="306">
        <f>'Control Center'!L33*'Formula Audit'!H$8</f>
        <v>58749</v>
      </c>
      <c r="N230" s="306">
        <f>'Control Center'!M33*'Formula Audit'!I$8</f>
        <v>58749</v>
      </c>
      <c r="O230" s="306">
        <f>'Control Center'!N33*'Formula Audit'!J$8</f>
        <v>58749</v>
      </c>
      <c r="P230" s="306">
        <f>'Control Center'!O33*'Formula Audit'!K$8</f>
        <v>58749</v>
      </c>
      <c r="Q230" s="307">
        <f>'Control Center'!P33*'Formula Audit'!L$8</f>
        <v>58749</v>
      </c>
    </row>
    <row r="231" spans="1:17" x14ac:dyDescent="0.3">
      <c r="A231" s="64"/>
      <c r="B231" s="396"/>
      <c r="C231" s="12"/>
      <c r="D231" s="216" t="s">
        <v>65</v>
      </c>
      <c r="E231" s="12"/>
      <c r="F231" s="12"/>
      <c r="G231" s="12"/>
      <c r="H231" s="305">
        <f>'Forecast Model'!T122</f>
        <v>18330.849945974016</v>
      </c>
      <c r="I231" s="306">
        <f>I$219*'Control Center'!H34*'Formula Audit'!D$8</f>
        <v>19559.365178503249</v>
      </c>
      <c r="J231" s="306">
        <f>J$219*'Control Center'!I34*'Formula Audit'!E$8</f>
        <v>18070.382380950159</v>
      </c>
      <c r="K231" s="306">
        <f>K$219*'Control Center'!J34*'Formula Audit'!F$8</f>
        <v>18877.748995348629</v>
      </c>
      <c r="L231" s="306">
        <f>L$219*'Control Center'!K34*'Formula Audit'!G$8</f>
        <v>19510.342364182761</v>
      </c>
      <c r="M231" s="306">
        <f>M$219*'Control Center'!L34*'Formula Audit'!H$8</f>
        <v>20164.133936806527</v>
      </c>
      <c r="N231" s="306">
        <f>N$219*'Control Center'!M34*'Formula Audit'!I$8</f>
        <v>17669.288646667723</v>
      </c>
      <c r="O231" s="306">
        <f>O$219*'Control Center'!N34*'Formula Audit'!J$8</f>
        <v>18064.020555034283</v>
      </c>
      <c r="P231" s="306">
        <f>P$219*'Control Center'!O34*'Formula Audit'!K$8</f>
        <v>18467.570774233747</v>
      </c>
      <c r="Q231" s="307">
        <f>Q$219*'Control Center'!P34*'Formula Audit'!L$8</f>
        <v>18880.136305330128</v>
      </c>
    </row>
    <row r="232" spans="1:17" x14ac:dyDescent="0.3">
      <c r="A232" s="64"/>
      <c r="B232" s="396"/>
      <c r="C232" s="12"/>
      <c r="D232" s="216" t="s">
        <v>66</v>
      </c>
      <c r="E232" s="12"/>
      <c r="F232" s="12"/>
      <c r="G232" s="12"/>
      <c r="H232" s="305">
        <f>'Forecast Model'!T123</f>
        <v>34134.999999999993</v>
      </c>
      <c r="I232" s="306">
        <f>'Control Center'!H35*'Formula Audit'!D$8</f>
        <v>34135</v>
      </c>
      <c r="J232" s="306">
        <f>'Control Center'!I35*'Formula Audit'!E$8</f>
        <v>34135</v>
      </c>
      <c r="K232" s="306">
        <f>'Control Center'!J35*'Formula Audit'!F$8</f>
        <v>34135</v>
      </c>
      <c r="L232" s="306">
        <f>'Control Center'!K35*'Formula Audit'!G$8</f>
        <v>34135</v>
      </c>
      <c r="M232" s="306">
        <f>'Control Center'!L35*'Formula Audit'!H$8</f>
        <v>34135</v>
      </c>
      <c r="N232" s="306">
        <f>'Control Center'!M35*'Formula Audit'!I$8</f>
        <v>34135</v>
      </c>
      <c r="O232" s="306">
        <f>'Control Center'!N35*'Formula Audit'!J$8</f>
        <v>34135</v>
      </c>
      <c r="P232" s="306">
        <f>'Control Center'!O35*'Formula Audit'!K$8</f>
        <v>34135</v>
      </c>
      <c r="Q232" s="307">
        <f>'Control Center'!P35*'Formula Audit'!L$8</f>
        <v>34135</v>
      </c>
    </row>
    <row r="233" spans="1:17" x14ac:dyDescent="0.3">
      <c r="A233" s="64"/>
      <c r="B233" s="396"/>
      <c r="C233" s="12"/>
      <c r="D233" s="216" t="s">
        <v>67</v>
      </c>
      <c r="E233" s="12"/>
      <c r="F233" s="12"/>
      <c r="G233" s="12"/>
      <c r="H233" s="305">
        <f>'Forecast Model'!T124</f>
        <v>2836.027010547456</v>
      </c>
      <c r="I233" s="306">
        <f>I$219*'Control Center'!H36*'Formula Audit'!D$8</f>
        <v>3026.0947047673358</v>
      </c>
      <c r="J233" s="306">
        <f>J$219*'Control Center'!I36*'Formula Audit'!E$8</f>
        <v>3195.099067933887</v>
      </c>
      <c r="K233" s="306">
        <f>K$219*'Control Center'!J36*'Formula Audit'!F$8</f>
        <v>3337.8528991901053</v>
      </c>
      <c r="L233" s="306">
        <f>L$219*'Control Center'!K36*'Formula Audit'!G$8</f>
        <v>3449.7043498419653</v>
      </c>
      <c r="M233" s="306">
        <f>M$219*'Control Center'!L36*'Formula Audit'!H$8</f>
        <v>3565.3039426051696</v>
      </c>
      <c r="N233" s="306">
        <f>N$219*'Control Center'!M36*'Formula Audit'!I$8</f>
        <v>3644.9528326829686</v>
      </c>
      <c r="O233" s="306">
        <f>O$219*'Control Center'!N36*'Formula Audit'!J$8</f>
        <v>3726.3810789651066</v>
      </c>
      <c r="P233" s="306">
        <f>P$219*'Control Center'!O36*'Formula Audit'!K$8</f>
        <v>3809.6284322691868</v>
      </c>
      <c r="Q233" s="307">
        <f>Q$219*'Control Center'!P36*'Formula Audit'!L$8</f>
        <v>3894.7355314460806</v>
      </c>
    </row>
    <row r="234" spans="1:17" x14ac:dyDescent="0.3">
      <c r="A234" s="64"/>
      <c r="B234" s="396"/>
      <c r="C234" s="12"/>
      <c r="D234" s="216" t="s">
        <v>68</v>
      </c>
      <c r="E234" s="12"/>
      <c r="F234" s="12"/>
      <c r="G234" s="12"/>
      <c r="H234" s="305">
        <f>'Forecast Model'!T125</f>
        <v>8660.0891640000009</v>
      </c>
      <c r="I234" s="306">
        <f>'Control Center'!H37*(H256+(-I290))*'Formula Audit'!D$8</f>
        <v>8684.5087070062164</v>
      </c>
      <c r="J234" s="306">
        <f>'Control Center'!I37*(I256+(-J290))*'Formula Audit'!E$8</f>
        <v>9421.723582304121</v>
      </c>
      <c r="K234" s="306">
        <f>'Control Center'!J37*(J256+(-K290))*'Formula Audit'!F$8</f>
        <v>9853.350359138165</v>
      </c>
      <c r="L234" s="306">
        <f>'Control Center'!K37*(K256+(-L290))*'Formula Audit'!G$8</f>
        <v>11190.022454319289</v>
      </c>
      <c r="M234" s="306">
        <f>'Control Center'!L37*(L256+(-M290))*'Formula Audit'!H$8</f>
        <v>13056.997714622221</v>
      </c>
      <c r="N234" s="306">
        <f>'Control Center'!M37*(M256+(-N290))*'Formula Audit'!I$8</f>
        <v>13065.703518950162</v>
      </c>
      <c r="O234" s="306">
        <f>'Control Center'!N37*(N256+(-O290))*'Formula Audit'!J$8</f>
        <v>11986.838664385497</v>
      </c>
      <c r="P234" s="306">
        <f>'Control Center'!O37*(O256+(-P290))*'Formula Audit'!K$8</f>
        <v>10632.263984740413</v>
      </c>
      <c r="Q234" s="307">
        <f>'Control Center'!P37*(P256+(-Q290))*'Formula Audit'!L$8</f>
        <v>9116.2658895777713</v>
      </c>
    </row>
    <row r="235" spans="1:17" x14ac:dyDescent="0.3">
      <c r="A235" s="64"/>
      <c r="B235" s="398"/>
      <c r="C235" s="220" t="s">
        <v>124</v>
      </c>
      <c r="D235" s="27"/>
      <c r="E235" s="27"/>
      <c r="F235" s="27"/>
      <c r="G235" s="27"/>
      <c r="H235" s="318">
        <f>SUM(H230:H234)</f>
        <v>122710.96612052148</v>
      </c>
      <c r="I235" s="299">
        <f>SUM(I230:I234)</f>
        <v>124153.9685902768</v>
      </c>
      <c r="J235" s="299">
        <f>SUM(J230:J234)</f>
        <v>123571.20503118818</v>
      </c>
      <c r="K235" s="299">
        <f>SUM(K230:K234)</f>
        <v>124952.95225367691</v>
      </c>
      <c r="L235" s="299">
        <f>SUM(L230:L234)</f>
        <v>127034.06916834401</v>
      </c>
      <c r="M235" s="299">
        <f>SUM(M230:M234)</f>
        <v>129670.43559403392</v>
      </c>
      <c r="N235" s="299">
        <f>SUM(N230:N234)</f>
        <v>127263.94499830087</v>
      </c>
      <c r="O235" s="299">
        <f>SUM(O230:O234)</f>
        <v>126661.24029838489</v>
      </c>
      <c r="P235" s="299">
        <f>SUM(P230:P234)</f>
        <v>125793.46319124335</v>
      </c>
      <c r="Q235" s="300">
        <f>SUM(Q230:Q234)</f>
        <v>124775.13772635399</v>
      </c>
    </row>
    <row r="236" spans="1:17" x14ac:dyDescent="0.3">
      <c r="A236" s="64"/>
      <c r="B236" s="396"/>
      <c r="C236" s="216" t="s">
        <v>164</v>
      </c>
      <c r="D236" s="12"/>
      <c r="E236" s="12"/>
      <c r="F236" s="12"/>
      <c r="G236" s="12"/>
      <c r="H236" s="320">
        <f>IFERROR(H235/H219,0)</f>
        <v>0.30521682332181516</v>
      </c>
      <c r="I236" s="320">
        <f>IFERROR(I235/I219,0)</f>
        <v>0.2894100085685018</v>
      </c>
      <c r="J236" s="320">
        <f>IFERROR(J235/J219,0)</f>
        <v>0.27281510267963871</v>
      </c>
      <c r="K236" s="320">
        <f>IFERROR(K235/K219,0)</f>
        <v>0.26406739656241407</v>
      </c>
      <c r="L236" s="320">
        <f>IFERROR(L235/L219,0)</f>
        <v>0.25976090500467092</v>
      </c>
      <c r="M236" s="320">
        <f>IFERROR(M235/M219,0)</f>
        <v>0.25655463528642297</v>
      </c>
      <c r="N236" s="320">
        <f>IFERROR(N235/N219,0)</f>
        <v>0.24629121671163651</v>
      </c>
      <c r="O236" s="320">
        <f>IFERROR(O235/O219,0)</f>
        <v>0.23976838925796118</v>
      </c>
      <c r="P236" s="320">
        <f>IFERROR(P235/P219,0)</f>
        <v>0.23292221410225211</v>
      </c>
      <c r="Q236" s="322">
        <f>IFERROR(Q235/Q219,0)</f>
        <v>0.22598808427819081</v>
      </c>
    </row>
    <row r="237" spans="1:17" x14ac:dyDescent="0.3">
      <c r="A237" s="64"/>
      <c r="B237" s="396"/>
      <c r="C237" s="12"/>
      <c r="D237" s="12"/>
      <c r="E237" s="12"/>
      <c r="F237" s="12"/>
      <c r="G237" s="12"/>
      <c r="H237" s="89"/>
      <c r="I237" s="90"/>
      <c r="J237" s="90"/>
      <c r="K237" s="90"/>
      <c r="L237" s="90"/>
      <c r="M237" s="90"/>
      <c r="N237" s="90"/>
      <c r="O237" s="90"/>
      <c r="P237" s="90"/>
      <c r="Q237" s="91"/>
    </row>
    <row r="238" spans="1:17" x14ac:dyDescent="0.3">
      <c r="A238" s="64"/>
      <c r="B238" s="396"/>
      <c r="C238" s="216" t="s">
        <v>125</v>
      </c>
      <c r="D238" s="12"/>
      <c r="E238" s="12"/>
      <c r="F238" s="12"/>
      <c r="G238" s="12"/>
      <c r="H238" s="243">
        <f>H227-H235</f>
        <v>56498.158573733206</v>
      </c>
      <c r="I238" s="328">
        <f>I227-I235</f>
        <v>39364.212908148751</v>
      </c>
      <c r="J238" s="328">
        <f>J227-J235</f>
        <v>58218.154639226763</v>
      </c>
      <c r="K238" s="328">
        <f>K227-K235</f>
        <v>74854.384376926449</v>
      </c>
      <c r="L238" s="328">
        <f>L227-L235</f>
        <v>81606.74679310307</v>
      </c>
      <c r="M238" s="328">
        <f>M227-M235</f>
        <v>96532.336340498645</v>
      </c>
      <c r="N238" s="328">
        <f>N227-N235</f>
        <v>103992.1968612491</v>
      </c>
      <c r="O238" s="328">
        <f>O227-O235</f>
        <v>120809.38073007666</v>
      </c>
      <c r="P238" s="328">
        <f>P227-P235</f>
        <v>127205.65151099407</v>
      </c>
      <c r="Q238" s="323">
        <f>Q227-Q235</f>
        <v>136697.08192952652</v>
      </c>
    </row>
    <row r="239" spans="1:17" x14ac:dyDescent="0.3">
      <c r="A239" s="64"/>
      <c r="B239" s="396"/>
      <c r="C239" s="216" t="s">
        <v>126</v>
      </c>
      <c r="D239" s="12"/>
      <c r="E239" s="12"/>
      <c r="F239" s="12"/>
      <c r="G239" s="12"/>
      <c r="H239" s="320">
        <f>IFERROR(H238/H219,0)</f>
        <v>0.14052687407310049</v>
      </c>
      <c r="I239" s="320">
        <f>IFERROR(I238/I219,0)</f>
        <v>9.1760233880529063E-2</v>
      </c>
      <c r="J239" s="320">
        <f>IFERROR(J238/J219,0)</f>
        <v>0.12853149592343194</v>
      </c>
      <c r="K239" s="320">
        <f>IFERROR(K238/K219,0)</f>
        <v>0.15819235998175904</v>
      </c>
      <c r="L239" s="320">
        <f>IFERROR(L238/L219,0)</f>
        <v>0.16687052961652218</v>
      </c>
      <c r="M239" s="320">
        <f>IFERROR(M238/M219,0)</f>
        <v>0.19099047697131674</v>
      </c>
      <c r="N239" s="320">
        <f>IFERROR(N238/N219,0)</f>
        <v>0.20125389554610321</v>
      </c>
      <c r="O239" s="320">
        <f>IFERROR(O238/O219,0)</f>
        <v>0.228690880940881</v>
      </c>
      <c r="P239" s="320">
        <f>IFERROR(P238/P219,0)</f>
        <v>0.23553705609659012</v>
      </c>
      <c r="Q239" s="322">
        <f>IFERROR(Q238/Q219,0)</f>
        <v>0.24758066578473392</v>
      </c>
    </row>
    <row r="240" spans="1:17" x14ac:dyDescent="0.3">
      <c r="A240" s="64"/>
      <c r="B240" s="396"/>
      <c r="C240" s="12"/>
      <c r="D240" s="12"/>
      <c r="E240" s="12"/>
      <c r="F240" s="12"/>
      <c r="G240" s="12"/>
      <c r="H240" s="89"/>
      <c r="I240" s="90"/>
      <c r="J240" s="90"/>
      <c r="K240" s="90"/>
      <c r="L240" s="90"/>
      <c r="M240" s="90"/>
      <c r="N240" s="90"/>
      <c r="O240" s="90"/>
      <c r="P240" s="90"/>
      <c r="Q240" s="91"/>
    </row>
    <row r="241" spans="1:17" x14ac:dyDescent="0.3">
      <c r="A241" s="95"/>
      <c r="B241" s="401"/>
      <c r="C241" s="97"/>
      <c r="D241" s="325" t="s">
        <v>127</v>
      </c>
      <c r="E241" s="97"/>
      <c r="F241" s="97"/>
      <c r="G241" s="97"/>
      <c r="H241" s="305">
        <f>'Forecast Model'!T131</f>
        <v>4295.191883781923</v>
      </c>
      <c r="I241" s="306">
        <f>'Control Center'!H49*H266*'Formula Audit'!D$8</f>
        <v>4113.9472200000027</v>
      </c>
      <c r="J241" s="306">
        <f>'Control Center'!I49*I266*'Formula Audit'!E$8</f>
        <v>3767.966040000003</v>
      </c>
      <c r="K241" s="306">
        <f>'Control Center'!J49*J266*'Formula Audit'!F$8</f>
        <v>3421.9848600000032</v>
      </c>
      <c r="L241" s="306">
        <f>'Control Center'!K49*K266*'Formula Audit'!G$8</f>
        <v>3076.003680000003</v>
      </c>
      <c r="M241" s="306">
        <f>'Control Center'!L49*L266*'Formula Audit'!H$8</f>
        <v>2730.0225000000032</v>
      </c>
      <c r="N241" s="306">
        <f>'Control Center'!M49*M266*'Formula Audit'!I$8</f>
        <v>2384.041320000003</v>
      </c>
      <c r="O241" s="306">
        <f>'Control Center'!N49*N266*'Formula Audit'!J$8</f>
        <v>2038.060140000003</v>
      </c>
      <c r="P241" s="306">
        <f>'Control Center'!O49*O266*'Formula Audit'!K$8</f>
        <v>1692.078960000003</v>
      </c>
      <c r="Q241" s="307">
        <f>'Control Center'!P49*P266*'Formula Audit'!L$8</f>
        <v>1346.097780000003</v>
      </c>
    </row>
    <row r="242" spans="1:17" x14ac:dyDescent="0.3">
      <c r="A242" s="64"/>
      <c r="B242" s="396"/>
      <c r="C242" s="216" t="s">
        <v>128</v>
      </c>
      <c r="D242" s="12"/>
      <c r="E242" s="12"/>
      <c r="F242" s="12"/>
      <c r="G242" s="12"/>
      <c r="H242" s="324">
        <f>H238-H241</f>
        <v>52202.966689951281</v>
      </c>
      <c r="I242" s="333">
        <f>I238-I241</f>
        <v>35250.265688148749</v>
      </c>
      <c r="J242" s="333">
        <f>J238-J241</f>
        <v>54450.188599226763</v>
      </c>
      <c r="K242" s="333">
        <f>K238-K241</f>
        <v>71432.399516926453</v>
      </c>
      <c r="L242" s="333">
        <f>L238-L241</f>
        <v>78530.743113103061</v>
      </c>
      <c r="M242" s="333">
        <f>M238-M241</f>
        <v>93802.313840498638</v>
      </c>
      <c r="N242" s="333">
        <f>N238-N241</f>
        <v>101608.1555412491</v>
      </c>
      <c r="O242" s="333">
        <f>O238-O241</f>
        <v>118771.32059007666</v>
      </c>
      <c r="P242" s="333">
        <f>P238-P241</f>
        <v>125513.57255099407</v>
      </c>
      <c r="Q242" s="291">
        <f>Q238-Q241</f>
        <v>135350.98414952651</v>
      </c>
    </row>
    <row r="243" spans="1:17" x14ac:dyDescent="0.3">
      <c r="A243" s="64"/>
      <c r="B243" s="396"/>
      <c r="C243" s="12"/>
      <c r="D243" s="12"/>
      <c r="E243" s="12"/>
      <c r="F243" s="12"/>
      <c r="G243" s="12"/>
      <c r="H243" s="89"/>
      <c r="I243" s="90"/>
      <c r="J243" s="90"/>
      <c r="K243" s="90"/>
      <c r="L243" s="90"/>
      <c r="M243" s="90"/>
      <c r="N243" s="90"/>
      <c r="O243" s="90"/>
      <c r="P243" s="90"/>
      <c r="Q243" s="91"/>
    </row>
    <row r="244" spans="1:17" x14ac:dyDescent="0.3">
      <c r="A244" s="64"/>
      <c r="B244" s="396"/>
      <c r="C244" s="12"/>
      <c r="D244" s="216" t="s">
        <v>129</v>
      </c>
      <c r="E244" s="12"/>
      <c r="F244" s="12"/>
      <c r="G244" s="12"/>
      <c r="H244" s="305">
        <f>'Forecast Model'!T134</f>
        <v>13825.120480366559</v>
      </c>
      <c r="I244" s="306">
        <f>IF(I242&gt;0,I242*'Control Center'!H38*'Formula Audit'!D$8,0)</f>
        <v>9335.4688632551861</v>
      </c>
      <c r="J244" s="306">
        <f>IF(J242&gt;0,J242*'Control Center'!I38*'Formula Audit'!E$8,0)</f>
        <v>14420.261247487622</v>
      </c>
      <c r="K244" s="306">
        <f>IF(K242&gt;0,K242*'Control Center'!J38*'Formula Audit'!F$8,0)</f>
        <v>18917.728093665701</v>
      </c>
      <c r="L244" s="306">
        <f>IF(L242&gt;0,L242*'Control Center'!K38*'Formula Audit'!G$8,0)</f>
        <v>20797.610821615537</v>
      </c>
      <c r="M244" s="306">
        <f>IF(M242&gt;0,M242*'Control Center'!L38*'Formula Audit'!H$8,0)</f>
        <v>24842.041983634619</v>
      </c>
      <c r="N244" s="306">
        <f>IF(N242&gt;0,N242*'Control Center'!M38*'Formula Audit'!I$8,0)</f>
        <v>26909.294264611166</v>
      </c>
      <c r="O244" s="306">
        <f>IF(O242&gt;0,O242*'Control Center'!N38*'Formula Audit'!J$8,0)</f>
        <v>31454.683917152364</v>
      </c>
      <c r="P244" s="306">
        <f>IF(P242&gt;0,P242*'Control Center'!O38*'Formula Audit'!K$8,0)</f>
        <v>33240.261472969964</v>
      </c>
      <c r="Q244" s="307">
        <f>IF(Q242&gt;0,Q242*'Control Center'!P38*'Formula Audit'!L$8,0)</f>
        <v>35845.542536255707</v>
      </c>
    </row>
    <row r="245" spans="1:17" x14ac:dyDescent="0.3">
      <c r="A245" s="95"/>
      <c r="B245" s="399"/>
      <c r="C245" s="295" t="s">
        <v>130</v>
      </c>
      <c r="D245" s="101"/>
      <c r="E245" s="101"/>
      <c r="F245" s="101"/>
      <c r="G245" s="27"/>
      <c r="H245" s="318">
        <f>H242-H244</f>
        <v>38377.846209584721</v>
      </c>
      <c r="I245" s="299">
        <f>I242-I244</f>
        <v>25914.796824893565</v>
      </c>
      <c r="J245" s="299">
        <f>J242-J244</f>
        <v>40029.927351739141</v>
      </c>
      <c r="K245" s="299">
        <f>K242-K244</f>
        <v>52514.671423260748</v>
      </c>
      <c r="L245" s="299">
        <f>L242-L244</f>
        <v>57733.13229148752</v>
      </c>
      <c r="M245" s="299">
        <f>M242-M244</f>
        <v>68960.271856864012</v>
      </c>
      <c r="N245" s="299">
        <f>N242-N244</f>
        <v>74698.861276637937</v>
      </c>
      <c r="O245" s="299">
        <f>O242-O244</f>
        <v>87316.636672924302</v>
      </c>
      <c r="P245" s="299">
        <f>P242-P244</f>
        <v>92273.311078024097</v>
      </c>
      <c r="Q245" s="300">
        <f>Q242-Q244</f>
        <v>99505.441613270814</v>
      </c>
    </row>
    <row r="246" spans="1:17" x14ac:dyDescent="0.3">
      <c r="A246" s="95"/>
      <c r="B246" s="401"/>
      <c r="C246" s="325" t="s">
        <v>131</v>
      </c>
      <c r="D246" s="97"/>
      <c r="E246" s="97"/>
      <c r="F246" s="97"/>
      <c r="G246" s="97"/>
      <c r="H246" s="320">
        <f>IFERROR(H245/H219,0)</f>
        <v>9.5456540489772118E-2</v>
      </c>
      <c r="I246" s="320">
        <f>IFERROR(I245/I219,0)</f>
        <v>6.0408875014654966E-2</v>
      </c>
      <c r="J246" s="320">
        <f>IFERROR(J245/J219,0)</f>
        <v>8.8376323092154818E-2</v>
      </c>
      <c r="K246" s="320">
        <f>IFERROR(K245/K219,0)</f>
        <v>0.11098107178706537</v>
      </c>
      <c r="L246" s="320">
        <f>IFERROR(L245/L219,0)</f>
        <v>0.11805345440771164</v>
      </c>
      <c r="M246" s="320">
        <f>IFERROR(M245/M219,0)</f>
        <v>0.13643879049562113</v>
      </c>
      <c r="N246" s="320">
        <f>IFERROR(N245/N219,0)</f>
        <v>0.144563123758599</v>
      </c>
      <c r="O246" s="320">
        <f>IFERROR(O245/O219,0)</f>
        <v>0.16528947041075709</v>
      </c>
      <c r="P246" s="320">
        <f>IFERROR(P245/P219,0)</f>
        <v>0.17085549100563568</v>
      </c>
      <c r="Q246" s="322">
        <f>IFERROR(Q245/Q219,0)</f>
        <v>0.18022055142712062</v>
      </c>
    </row>
    <row r="247" spans="1:17" x14ac:dyDescent="0.3">
      <c r="A247" s="95"/>
      <c r="B247" s="401"/>
      <c r="C247" s="151"/>
      <c r="D247" s="151"/>
      <c r="E247" s="151"/>
      <c r="F247" s="151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81"/>
    </row>
    <row r="248" spans="1:17" x14ac:dyDescent="0.3">
      <c r="A248" s="95"/>
      <c r="B248" s="162"/>
      <c r="C248" s="162" t="s">
        <v>72</v>
      </c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</row>
    <row r="249" spans="1:17" x14ac:dyDescent="0.3">
      <c r="A249" s="95"/>
      <c r="B249" s="163"/>
      <c r="C249" s="163" t="s">
        <v>132</v>
      </c>
      <c r="D249" s="163"/>
      <c r="E249" s="163"/>
      <c r="F249" s="163"/>
      <c r="G249" s="163"/>
      <c r="H249" s="164"/>
      <c r="I249" s="165"/>
      <c r="J249" s="165"/>
      <c r="K249" s="165"/>
      <c r="L249" s="165"/>
      <c r="M249" s="165"/>
      <c r="N249" s="165"/>
      <c r="O249" s="165"/>
      <c r="P249" s="165"/>
      <c r="Q249" s="166"/>
    </row>
    <row r="250" spans="1:17" x14ac:dyDescent="0.3">
      <c r="A250" s="95"/>
      <c r="B250" s="401"/>
      <c r="C250" s="97"/>
      <c r="D250" s="325" t="s">
        <v>133</v>
      </c>
      <c r="E250" s="97"/>
      <c r="F250" s="97"/>
      <c r="G250" s="12"/>
      <c r="H250" s="303">
        <f>'Forecast Model'!T140</f>
        <v>178578.5537947962</v>
      </c>
      <c r="I250" s="290">
        <f>I301*'Formula Audit'!D$8</f>
        <v>163839.58251429163</v>
      </c>
      <c r="J250" s="290">
        <f>J301*'Formula Audit'!E$8</f>
        <v>189931.21060877628</v>
      </c>
      <c r="K250" s="290">
        <f>K301*'Formula Audit'!F$8</f>
        <v>223641.76001467428</v>
      </c>
      <c r="L250" s="290">
        <f>L301*'Formula Audit'!G$8</f>
        <v>264213.03342238709</v>
      </c>
      <c r="M250" s="290">
        <f>M301*'Formula Audit'!H$8</f>
        <v>317061.07934972201</v>
      </c>
      <c r="N250" s="290">
        <f>N301*'Formula Audit'!I$8</f>
        <v>370368.59793910594</v>
      </c>
      <c r="O250" s="290">
        <f>O301*'Formula Audit'!J$8</f>
        <v>440597.53536700725</v>
      </c>
      <c r="P250" s="290">
        <f>P301*'Formula Audit'!K$8</f>
        <v>510650.55217872234</v>
      </c>
      <c r="Q250" s="304">
        <f>Q301*'Formula Audit'!L$8</f>
        <v>591162.37508667039</v>
      </c>
    </row>
    <row r="251" spans="1:17" x14ac:dyDescent="0.3">
      <c r="A251" s="95"/>
      <c r="B251" s="401"/>
      <c r="C251" s="97"/>
      <c r="D251" s="325" t="s">
        <v>73</v>
      </c>
      <c r="E251" s="97"/>
      <c r="F251" s="97"/>
      <c r="G251" s="12"/>
      <c r="H251" s="303">
        <f>'Forecast Model'!T141</f>
        <v>0</v>
      </c>
      <c r="I251" s="290">
        <f>'Control Center'!H41*I$219/365*'Formula Audit'!D$8</f>
        <v>43486.646681137456</v>
      </c>
      <c r="J251" s="290">
        <f>'Control Center'!I41*J$219/365*'Formula Audit'!E$8</f>
        <v>45915.332411632306</v>
      </c>
      <c r="K251" s="290">
        <f>'Control Center'!J41*K$219/365*'Formula Audit'!F$8</f>
        <v>47966.783548451625</v>
      </c>
      <c r="L251" s="290">
        <f>'Control Center'!K41*L$219/365*'Formula Audit'!G$8</f>
        <v>49574.15046516023</v>
      </c>
      <c r="M251" s="290">
        <f>'Control Center'!L41*M$219/365*'Formula Audit'!H$8</f>
        <v>44311.680213835898</v>
      </c>
      <c r="N251" s="290">
        <f>'Control Center'!M41*N$219/365*'Formula Audit'!I$8</f>
        <v>45301.603149812981</v>
      </c>
      <c r="O251" s="290">
        <f>'Control Center'!N41*O$219/365*'Formula Audit'!J$8</f>
        <v>46313.640964179809</v>
      </c>
      <c r="P251" s="290">
        <f>'Control Center'!O41*P$219/365*'Formula Audit'!K$8</f>
        <v>47348.287703319591</v>
      </c>
      <c r="Q251" s="304">
        <f>'Control Center'!P41*Q$219/365*'Formula Audit'!L$8</f>
        <v>48406.048450611743</v>
      </c>
    </row>
    <row r="252" spans="1:17" x14ac:dyDescent="0.3">
      <c r="A252" s="95"/>
      <c r="B252" s="401"/>
      <c r="C252" s="97"/>
      <c r="D252" s="325" t="s">
        <v>74</v>
      </c>
      <c r="E252" s="97"/>
      <c r="F252" s="97"/>
      <c r="G252" s="12"/>
      <c r="H252" s="303">
        <f>'Forecast Model'!T142</f>
        <v>0</v>
      </c>
      <c r="I252" s="290">
        <f>'Control Center'!H42*I$225/365*'Formula Audit'!D$8</f>
        <v>48003.10398589012</v>
      </c>
      <c r="J252" s="290">
        <f>'Control Center'!I42*J$225/365*'Formula Audit'!E$8</f>
        <v>49031.524730179124</v>
      </c>
      <c r="K252" s="290">
        <f>'Control Center'!J42*K$225/365*'Formula Audit'!F$8</f>
        <v>53177.735825955489</v>
      </c>
      <c r="L252" s="290">
        <f>'Control Center'!K42*L$225/365*'Formula Audit'!G$8</f>
        <v>54543.849372373632</v>
      </c>
      <c r="M252" s="290">
        <f>'Control Center'!L42*M$225/365*'Formula Audit'!H$8</f>
        <v>54315.453331018769</v>
      </c>
      <c r="N252" s="290">
        <f>'Control Center'!M42*N$225/365*'Formula Audit'!I$8</f>
        <v>59439.343696351592</v>
      </c>
      <c r="O252" s="290">
        <f>'Control Center'!N42*O$225/365*'Formula Audit'!J$8</f>
        <v>58466.767979891221</v>
      </c>
      <c r="P252" s="290">
        <f>'Control Center'!O42*P$225/365*'Formula Audit'!K$8</f>
        <v>63705.344232914751</v>
      </c>
      <c r="Q252" s="304">
        <f>'Control Center'!P42*Q$225/365*'Formula Audit'!L$8</f>
        <v>64502.468244374482</v>
      </c>
    </row>
    <row r="253" spans="1:17" x14ac:dyDescent="0.3">
      <c r="A253" s="95"/>
      <c r="B253" s="399"/>
      <c r="C253" s="101"/>
      <c r="D253" s="295" t="s">
        <v>134</v>
      </c>
      <c r="E253" s="101"/>
      <c r="F253" s="101"/>
      <c r="G253" s="27"/>
      <c r="H253" s="292">
        <f>SUM(H250:H252)</f>
        <v>178578.5537947962</v>
      </c>
      <c r="I253" s="293">
        <f>SUM(I250:I252)</f>
        <v>255329.33318131918</v>
      </c>
      <c r="J253" s="293">
        <f>SUM(J250:J252)</f>
        <v>284878.06775058771</v>
      </c>
      <c r="K253" s="293">
        <f>SUM(K250:K252)</f>
        <v>324786.27938908141</v>
      </c>
      <c r="L253" s="293">
        <f>SUM(L250:L252)</f>
        <v>368331.03325992101</v>
      </c>
      <c r="M253" s="293">
        <f>SUM(M250:M252)</f>
        <v>415688.21289457672</v>
      </c>
      <c r="N253" s="293">
        <f>SUM(N250:N252)</f>
        <v>475109.54478527047</v>
      </c>
      <c r="O253" s="293">
        <f>SUM(O250:O252)</f>
        <v>545377.94431107829</v>
      </c>
      <c r="P253" s="293">
        <f>SUM(P250:P252)</f>
        <v>621704.18411495665</v>
      </c>
      <c r="Q253" s="294">
        <f>SUM(Q250:Q252)</f>
        <v>704070.89178165665</v>
      </c>
    </row>
    <row r="254" spans="1:17" x14ac:dyDescent="0.3">
      <c r="A254" s="95"/>
      <c r="B254" s="401"/>
      <c r="C254" s="97"/>
      <c r="D254" s="97"/>
      <c r="E254" s="97"/>
      <c r="F254" s="97"/>
      <c r="G254" s="97"/>
      <c r="H254" s="98"/>
      <c r="I254" s="87"/>
      <c r="J254" s="87"/>
      <c r="K254" s="87"/>
      <c r="L254" s="87"/>
      <c r="M254" s="87"/>
      <c r="N254" s="87"/>
      <c r="O254" s="87"/>
      <c r="P254" s="87"/>
      <c r="Q254" s="88"/>
    </row>
    <row r="255" spans="1:17" x14ac:dyDescent="0.3">
      <c r="A255" s="95"/>
      <c r="B255" s="162"/>
      <c r="C255" s="162" t="s">
        <v>135</v>
      </c>
      <c r="D255" s="162"/>
      <c r="E255" s="162"/>
      <c r="F255" s="162"/>
      <c r="G255" s="162"/>
      <c r="H255" s="140"/>
      <c r="I255" s="141"/>
      <c r="J255" s="141"/>
      <c r="K255" s="141"/>
      <c r="L255" s="141"/>
      <c r="M255" s="141"/>
      <c r="N255" s="141"/>
      <c r="O255" s="141"/>
      <c r="P255" s="141"/>
      <c r="Q255" s="142"/>
    </row>
    <row r="256" spans="1:17" x14ac:dyDescent="0.3">
      <c r="A256" s="64"/>
      <c r="B256" s="396"/>
      <c r="C256" s="12"/>
      <c r="D256" s="216" t="s">
        <v>75</v>
      </c>
      <c r="E256" s="12"/>
      <c r="F256" s="12"/>
      <c r="G256" s="12"/>
      <c r="H256" s="305">
        <f>'Forecast Model'!T146</f>
        <v>12231.91083600001</v>
      </c>
      <c r="I256" s="306">
        <f>(H256+(-I290)-I234)*'Formula Audit'!D$8</f>
        <v>12266.402128993794</v>
      </c>
      <c r="J256" s="306">
        <f>(I256+(-J290)-J234)*'Formula Audit'!E$8</f>
        <v>13307.678546689674</v>
      </c>
      <c r="K256" s="306">
        <f>(J256+(-K290)-K234)*'Formula Audit'!F$8</f>
        <v>13917.328187551511</v>
      </c>
      <c r="L256" s="306">
        <f>(K256+(-L290)-L234)*'Formula Audit'!G$8</f>
        <v>15805.305733232221</v>
      </c>
      <c r="M256" s="306">
        <f>(L256+(-M290)-M234)*'Formula Audit'!H$8</f>
        <v>18442.308018609998</v>
      </c>
      <c r="N256" s="306">
        <f>(M256+(-N290)-N234)*'Formula Audit'!I$8</f>
        <v>18454.604499659836</v>
      </c>
      <c r="O256" s="306">
        <f>(N256+(-O290)-O234)*'Formula Audit'!J$8</f>
        <v>16930.765835274338</v>
      </c>
      <c r="P256" s="306">
        <f>(O256+(-P290)-P234)*'Formula Audit'!K$8</f>
        <v>15017.501850533925</v>
      </c>
      <c r="Q256" s="307">
        <f>(P256+(-Q290)-Q234)*'Formula Audit'!L$8</f>
        <v>12876.235960956154</v>
      </c>
    </row>
    <row r="257" spans="1:17" x14ac:dyDescent="0.3">
      <c r="A257" s="64"/>
      <c r="B257" s="398"/>
      <c r="C257" s="27"/>
      <c r="D257" s="220" t="s">
        <v>136</v>
      </c>
      <c r="E257" s="27"/>
      <c r="F257" s="27"/>
      <c r="G257" s="27"/>
      <c r="H257" s="318">
        <f>SUM(H256)</f>
        <v>12231.91083600001</v>
      </c>
      <c r="I257" s="299">
        <f>SUM(I256)</f>
        <v>12266.402128993794</v>
      </c>
      <c r="J257" s="299">
        <f>SUM(J256)</f>
        <v>13307.678546689674</v>
      </c>
      <c r="K257" s="299">
        <f>SUM(K256)</f>
        <v>13917.328187551511</v>
      </c>
      <c r="L257" s="299">
        <f>SUM(L256)</f>
        <v>15805.305733232221</v>
      </c>
      <c r="M257" s="299">
        <f>SUM(M256)</f>
        <v>18442.308018609998</v>
      </c>
      <c r="N257" s="299">
        <f>SUM(N256)</f>
        <v>18454.604499659836</v>
      </c>
      <c r="O257" s="299">
        <f>SUM(O256)</f>
        <v>16930.765835274338</v>
      </c>
      <c r="P257" s="299">
        <f>SUM(P256)</f>
        <v>15017.501850533925</v>
      </c>
      <c r="Q257" s="300">
        <f>SUM(Q256)</f>
        <v>12876.235960956154</v>
      </c>
    </row>
    <row r="258" spans="1:17" x14ac:dyDescent="0.3">
      <c r="A258" s="64"/>
      <c r="B258" s="398"/>
      <c r="C258" s="220" t="s">
        <v>137</v>
      </c>
      <c r="D258" s="27"/>
      <c r="E258" s="27"/>
      <c r="F258" s="27"/>
      <c r="G258" s="27"/>
      <c r="H258" s="318">
        <f>H253+H257</f>
        <v>190810.46463079622</v>
      </c>
      <c r="I258" s="299">
        <f>I253+I257</f>
        <v>267595.73531031294</v>
      </c>
      <c r="J258" s="299">
        <f>J253+J257</f>
        <v>298185.74629727739</v>
      </c>
      <c r="K258" s="299">
        <f>K253+K257</f>
        <v>338703.60757663293</v>
      </c>
      <c r="L258" s="299">
        <f>L253+L257</f>
        <v>384136.33899315324</v>
      </c>
      <c r="M258" s="299">
        <f>M253+M257</f>
        <v>434130.52091318672</v>
      </c>
      <c r="N258" s="299">
        <f>N253+N257</f>
        <v>493564.14928493032</v>
      </c>
      <c r="O258" s="299">
        <f>O253+O257</f>
        <v>562308.71014635265</v>
      </c>
      <c r="P258" s="299">
        <f>P253+P257</f>
        <v>636721.68596549053</v>
      </c>
      <c r="Q258" s="300">
        <f>Q253+Q257</f>
        <v>716947.12774261285</v>
      </c>
    </row>
    <row r="259" spans="1:17" x14ac:dyDescent="0.3">
      <c r="A259" s="64"/>
      <c r="B259" s="396"/>
      <c r="C259" s="12"/>
      <c r="D259" s="12"/>
      <c r="E259" s="12"/>
      <c r="F259" s="12"/>
      <c r="G259" s="12"/>
      <c r="H259" s="89"/>
      <c r="I259" s="90"/>
      <c r="J259" s="90"/>
      <c r="K259" s="90"/>
      <c r="L259" s="90"/>
      <c r="M259" s="90"/>
      <c r="N259" s="90"/>
      <c r="O259" s="90"/>
      <c r="P259" s="90"/>
      <c r="Q259" s="91"/>
    </row>
    <row r="260" spans="1:17" x14ac:dyDescent="0.3">
      <c r="A260" s="64"/>
      <c r="B260" s="55"/>
      <c r="C260" s="55" t="s">
        <v>138</v>
      </c>
      <c r="D260" s="55"/>
      <c r="E260" s="55"/>
      <c r="F260" s="55"/>
      <c r="G260" s="55"/>
      <c r="H260" s="77"/>
      <c r="I260" s="143"/>
      <c r="J260" s="143"/>
      <c r="K260" s="143"/>
      <c r="L260" s="143"/>
      <c r="M260" s="143"/>
      <c r="N260" s="143"/>
      <c r="O260" s="143"/>
      <c r="P260" s="143"/>
      <c r="Q260" s="144"/>
    </row>
    <row r="261" spans="1:17" x14ac:dyDescent="0.3">
      <c r="A261" s="64"/>
      <c r="B261" s="396"/>
      <c r="C261" s="12"/>
      <c r="D261" s="216" t="s">
        <v>139</v>
      </c>
      <c r="E261" s="12"/>
      <c r="F261" s="12"/>
      <c r="G261" s="12"/>
      <c r="H261" s="305">
        <f>'Forecast Model'!T151</f>
        <v>0</v>
      </c>
      <c r="I261" s="290">
        <f>'Control Center'!H44*I$225/365*'Formula Audit'!D$8</f>
        <v>38547.947140184493</v>
      </c>
      <c r="J261" s="290">
        <f>'Control Center'!I44*J$225/365*'Formula Audit'!E$8</f>
        <v>39373.800162113534</v>
      </c>
      <c r="K261" s="290">
        <f>'Control Center'!J44*K$225/365*'Formula Audit'!F$8</f>
        <v>39696.056320783675</v>
      </c>
      <c r="L261" s="290">
        <f>'Control Center'!K44*L$225/365*'Formula Audit'!G$8</f>
        <v>40715.83122163103</v>
      </c>
      <c r="M261" s="290">
        <f>'Control Center'!L44*M$225/365*'Formula Audit'!H$8</f>
        <v>36720.30647730847</v>
      </c>
      <c r="N261" s="290">
        <f>'Control Center'!M44*N$225/365*'Formula Audit'!I$8</f>
        <v>37540.638124011537</v>
      </c>
      <c r="O261" s="290">
        <f>'Control Center'!N44*O$225/365*'Formula Audit'!J$8</f>
        <v>36926.379776773407</v>
      </c>
      <c r="P261" s="290">
        <f>'Control Center'!O44*P$225/365*'Formula Audit'!K$8</f>
        <v>37751.315100986518</v>
      </c>
      <c r="Q261" s="304">
        <f>'Control Center'!P44*Q$225/365*'Formula Audit'!L$8</f>
        <v>38223.684885555253</v>
      </c>
    </row>
    <row r="262" spans="1:17" x14ac:dyDescent="0.3">
      <c r="A262" s="64"/>
      <c r="B262" s="396"/>
      <c r="C262" s="12"/>
      <c r="D262" s="216" t="s">
        <v>78</v>
      </c>
      <c r="E262" s="12"/>
      <c r="F262" s="12"/>
      <c r="G262" s="12"/>
      <c r="H262" s="305">
        <f>'Forecast Model'!T152</f>
        <v>0</v>
      </c>
      <c r="I262" s="306">
        <f>'Control Center'!H45*I219*'Formula Audit'!D$8</f>
        <v>21691.01595649997</v>
      </c>
      <c r="J262" s="306">
        <f>'Control Center'!I45*J219*'Formula Audit'!E$8</f>
        <v>22902.43750665454</v>
      </c>
      <c r="K262" s="306">
        <f>'Control Center'!J45*K219*'Formula Audit'!F$8</f>
        <v>23925.695512014358</v>
      </c>
      <c r="L262" s="306">
        <f>'Control Center'!K45*L219*'Formula Audit'!G$8</f>
        <v>24727.445568621955</v>
      </c>
      <c r="M262" s="306">
        <f>'Control Center'!L45*M219*'Formula Audit'!H$8</f>
        <v>25556.062269626476</v>
      </c>
      <c r="N262" s="306">
        <f>'Control Center'!M45*N219*'Formula Audit'!I$8</f>
        <v>26126.984700729929</v>
      </c>
      <c r="O262" s="306">
        <f>'Control Center'!N45*O219*'Formula Audit'!J$8</f>
        <v>26710.661538944238</v>
      </c>
      <c r="P262" s="306">
        <f>'Control Center'!O45*P219*'Formula Audit'!K$8</f>
        <v>27307.377717724252</v>
      </c>
      <c r="Q262" s="307">
        <f>'Control Center'!P45*Q219*'Formula Audit'!L$8</f>
        <v>27917.424535938211</v>
      </c>
    </row>
    <row r="263" spans="1:17" x14ac:dyDescent="0.3">
      <c r="A263" s="64"/>
      <c r="B263" s="398"/>
      <c r="C263" s="27"/>
      <c r="D263" s="220" t="s">
        <v>140</v>
      </c>
      <c r="E263" s="27"/>
      <c r="F263" s="27"/>
      <c r="G263" s="27"/>
      <c r="H263" s="318">
        <f>SUM(H261:H262)</f>
        <v>0</v>
      </c>
      <c r="I263" s="299">
        <f>SUM(I261:I262)</f>
        <v>60238.963096684463</v>
      </c>
      <c r="J263" s="299">
        <f>SUM(J261:J262)</f>
        <v>62276.237668768073</v>
      </c>
      <c r="K263" s="299">
        <f>SUM(K261:K262)</f>
        <v>63621.751832798036</v>
      </c>
      <c r="L263" s="299">
        <f>SUM(L261:L262)</f>
        <v>65443.276790252989</v>
      </c>
      <c r="M263" s="299">
        <f>SUM(M261:M262)</f>
        <v>62276.368746934946</v>
      </c>
      <c r="N263" s="299">
        <f>SUM(N261:N262)</f>
        <v>63667.622824741469</v>
      </c>
      <c r="O263" s="299">
        <f>SUM(O261:O262)</f>
        <v>63637.041315717644</v>
      </c>
      <c r="P263" s="299">
        <f>SUM(P261:P262)</f>
        <v>65058.69281871077</v>
      </c>
      <c r="Q263" s="300">
        <f>SUM(Q261:Q262)</f>
        <v>66141.109421493456</v>
      </c>
    </row>
    <row r="264" spans="1:17" x14ac:dyDescent="0.3">
      <c r="A264" s="64"/>
      <c r="B264" s="396"/>
      <c r="C264" s="12"/>
      <c r="D264" s="12"/>
      <c r="E264" s="12"/>
      <c r="F264" s="12"/>
      <c r="G264" s="12"/>
      <c r="H264" s="89"/>
      <c r="I264" s="90"/>
      <c r="J264" s="90"/>
      <c r="K264" s="90"/>
      <c r="L264" s="90"/>
      <c r="M264" s="90"/>
      <c r="N264" s="90"/>
      <c r="O264" s="90"/>
      <c r="P264" s="90"/>
      <c r="Q264" s="91"/>
    </row>
    <row r="265" spans="1:17" x14ac:dyDescent="0.3">
      <c r="A265" s="64"/>
      <c r="B265" s="55"/>
      <c r="C265" s="55" t="s">
        <v>141</v>
      </c>
      <c r="D265" s="55"/>
      <c r="E265" s="55"/>
      <c r="F265" s="55"/>
      <c r="G265" s="55"/>
      <c r="H265" s="77"/>
      <c r="I265" s="143"/>
      <c r="J265" s="143"/>
      <c r="K265" s="143"/>
      <c r="L265" s="143"/>
      <c r="M265" s="143"/>
      <c r="N265" s="143"/>
      <c r="O265" s="143"/>
      <c r="P265" s="143"/>
      <c r="Q265" s="144"/>
    </row>
    <row r="266" spans="1:17" x14ac:dyDescent="0.3">
      <c r="A266" s="64"/>
      <c r="B266" s="396"/>
      <c r="C266" s="12"/>
      <c r="D266" s="216" t="s">
        <v>82</v>
      </c>
      <c r="E266" s="12"/>
      <c r="F266" s="12"/>
      <c r="G266" s="12"/>
      <c r="H266" s="305">
        <f>'Forecast Model'!T156</f>
        <v>65363.000000000051</v>
      </c>
      <c r="I266" s="306">
        <f>(H266+'Control Center'!$G52)*'Formula Audit'!D$8</f>
        <v>59866.000000000051</v>
      </c>
      <c r="J266" s="306">
        <f>(I266+'Control Center'!$G52)*'Formula Audit'!E$8</f>
        <v>54369.000000000051</v>
      </c>
      <c r="K266" s="306">
        <f>(J266+'Control Center'!$G52)*'Formula Audit'!F$8</f>
        <v>48872.000000000051</v>
      </c>
      <c r="L266" s="306">
        <f>(K266+'Control Center'!$G52)*'Formula Audit'!G$8</f>
        <v>43375.000000000051</v>
      </c>
      <c r="M266" s="306">
        <f>(L266+'Control Center'!$G52)*'Formula Audit'!H$8</f>
        <v>37878.000000000051</v>
      </c>
      <c r="N266" s="306">
        <f>(M266+'Control Center'!$G52)*'Formula Audit'!I$8</f>
        <v>32381.000000000051</v>
      </c>
      <c r="O266" s="306">
        <f>(N266+'Control Center'!$G52)*'Formula Audit'!J$8</f>
        <v>26884.000000000051</v>
      </c>
      <c r="P266" s="306">
        <f>(O266+'Control Center'!$G52)*'Formula Audit'!K$8</f>
        <v>21387.000000000051</v>
      </c>
      <c r="Q266" s="307">
        <f>(P266+'Control Center'!$G52)*'Formula Audit'!L$8</f>
        <v>15890.000000000051</v>
      </c>
    </row>
    <row r="267" spans="1:17" x14ac:dyDescent="0.3">
      <c r="A267" s="64"/>
      <c r="B267" s="398"/>
      <c r="C267" s="27"/>
      <c r="D267" s="220" t="s">
        <v>142</v>
      </c>
      <c r="E267" s="27"/>
      <c r="F267" s="27"/>
      <c r="G267" s="27"/>
      <c r="H267" s="318">
        <f>SUM(H266)</f>
        <v>65363.000000000051</v>
      </c>
      <c r="I267" s="299">
        <f>SUM(I266)</f>
        <v>59866.000000000051</v>
      </c>
      <c r="J267" s="299">
        <f>SUM(J266)</f>
        <v>54369.000000000051</v>
      </c>
      <c r="K267" s="299">
        <f>SUM(K266)</f>
        <v>48872.000000000051</v>
      </c>
      <c r="L267" s="299">
        <f>SUM(L266)</f>
        <v>43375.000000000051</v>
      </c>
      <c r="M267" s="299">
        <f>SUM(M266)</f>
        <v>37878.000000000051</v>
      </c>
      <c r="N267" s="299">
        <f>SUM(N266)</f>
        <v>32381.000000000051</v>
      </c>
      <c r="O267" s="299">
        <f>SUM(O266)</f>
        <v>26884.000000000051</v>
      </c>
      <c r="P267" s="299">
        <f>SUM(P266)</f>
        <v>21387.000000000051</v>
      </c>
      <c r="Q267" s="300">
        <f>SUM(Q266)</f>
        <v>15890.000000000051</v>
      </c>
    </row>
    <row r="268" spans="1:17" x14ac:dyDescent="0.3">
      <c r="A268" s="64"/>
      <c r="B268" s="398"/>
      <c r="C268" s="220" t="s">
        <v>143</v>
      </c>
      <c r="D268" s="27"/>
      <c r="E268" s="27"/>
      <c r="F268" s="27"/>
      <c r="G268" s="27"/>
      <c r="H268" s="318">
        <f>H263+H267</f>
        <v>65363.000000000051</v>
      </c>
      <c r="I268" s="299">
        <f>I263+I267</f>
        <v>120104.96309668451</v>
      </c>
      <c r="J268" s="299">
        <f>J263+J267</f>
        <v>116645.23766876812</v>
      </c>
      <c r="K268" s="299">
        <f>K263+K267</f>
        <v>112493.75183279809</v>
      </c>
      <c r="L268" s="299">
        <f>L263+L267</f>
        <v>108818.27679025303</v>
      </c>
      <c r="M268" s="299">
        <f>M263+M267</f>
        <v>100154.368746935</v>
      </c>
      <c r="N268" s="299">
        <f>N263+N267</f>
        <v>96048.622824741527</v>
      </c>
      <c r="O268" s="299">
        <f>O263+O267</f>
        <v>90521.041315717695</v>
      </c>
      <c r="P268" s="299">
        <f>P263+P267</f>
        <v>86445.692818710813</v>
      </c>
      <c r="Q268" s="300">
        <f>Q263+Q267</f>
        <v>82031.109421493515</v>
      </c>
    </row>
    <row r="269" spans="1:17" x14ac:dyDescent="0.3">
      <c r="A269" s="64"/>
      <c r="B269" s="396"/>
      <c r="C269" s="12"/>
      <c r="D269" s="12"/>
      <c r="E269" s="12"/>
      <c r="F269" s="12"/>
      <c r="G269" s="12"/>
      <c r="H269" s="89"/>
      <c r="I269" s="90"/>
      <c r="J269" s="90"/>
      <c r="K269" s="90"/>
      <c r="L269" s="90"/>
      <c r="M269" s="90"/>
      <c r="N269" s="90"/>
      <c r="O269" s="90"/>
      <c r="P269" s="90"/>
      <c r="Q269" s="91"/>
    </row>
    <row r="270" spans="1:17" x14ac:dyDescent="0.3">
      <c r="A270" s="64"/>
      <c r="B270" s="55"/>
      <c r="C270" s="55" t="s">
        <v>6</v>
      </c>
      <c r="D270" s="55"/>
      <c r="E270" s="55"/>
      <c r="F270" s="55"/>
      <c r="G270" s="55"/>
      <c r="H270" s="77"/>
      <c r="I270" s="143"/>
      <c r="J270" s="143"/>
      <c r="K270" s="143"/>
      <c r="L270" s="143"/>
      <c r="M270" s="143"/>
      <c r="N270" s="143"/>
      <c r="O270" s="143"/>
      <c r="P270" s="143"/>
      <c r="Q270" s="144"/>
    </row>
    <row r="271" spans="1:17" x14ac:dyDescent="0.3">
      <c r="A271" s="64"/>
      <c r="B271" s="396"/>
      <c r="C271" s="12"/>
      <c r="D271" s="216" t="s">
        <v>84</v>
      </c>
      <c r="E271" s="12"/>
      <c r="F271" s="12"/>
      <c r="G271" s="12"/>
      <c r="H271" s="305">
        <f>'Forecast Model'!T161</f>
        <v>92803</v>
      </c>
      <c r="I271" s="306">
        <f>'Control Center'!H51*'Formula Audit'!D$8</f>
        <v>92803</v>
      </c>
      <c r="J271" s="306">
        <f>'Control Center'!I51*'Formula Audit'!E$8</f>
        <v>92803</v>
      </c>
      <c r="K271" s="306">
        <f>'Control Center'!J51*'Formula Audit'!F$8</f>
        <v>92803</v>
      </c>
      <c r="L271" s="306">
        <f>'Control Center'!K51*'Formula Audit'!G$8</f>
        <v>92803</v>
      </c>
      <c r="M271" s="306">
        <f>'Control Center'!L51*'Formula Audit'!H$8</f>
        <v>92803</v>
      </c>
      <c r="N271" s="306">
        <f>'Control Center'!M51*'Formula Audit'!I$8</f>
        <v>92803</v>
      </c>
      <c r="O271" s="306">
        <f>'Control Center'!N51*'Formula Audit'!J$8</f>
        <v>92803</v>
      </c>
      <c r="P271" s="306">
        <f>'Control Center'!O51*'Formula Audit'!K$8</f>
        <v>92803</v>
      </c>
      <c r="Q271" s="307">
        <f>'Control Center'!P51*'Formula Audit'!L$8</f>
        <v>92803</v>
      </c>
    </row>
    <row r="272" spans="1:17" x14ac:dyDescent="0.3">
      <c r="A272" s="64"/>
      <c r="B272" s="396"/>
      <c r="C272" s="12"/>
      <c r="D272" s="216" t="s">
        <v>5</v>
      </c>
      <c r="E272" s="12"/>
      <c r="F272" s="12"/>
      <c r="G272" s="12"/>
      <c r="H272" s="305">
        <f>'Forecast Model'!T162</f>
        <v>32644.464630796225</v>
      </c>
      <c r="I272" s="306">
        <f>(H272+I245+I296)*'Formula Audit'!D$8</f>
        <v>54687.772213628465</v>
      </c>
      <c r="J272" s="306">
        <f>(I272+J245+J296)*'Formula Audit'!E$8</f>
        <v>88737.50862850924</v>
      </c>
      <c r="K272" s="306">
        <f>(J272+K245+K296)*'Formula Audit'!F$8</f>
        <v>133406.85574383481</v>
      </c>
      <c r="L272" s="306">
        <f>(K272+L245+L296)*'Formula Audit'!G$8</f>
        <v>182515.06220290015</v>
      </c>
      <c r="M272" s="306">
        <f>(L272+M245+M296)*'Formula Audit'!H$8</f>
        <v>241173.15216625168</v>
      </c>
      <c r="N272" s="306">
        <f>(M272+N245+N296)*'Formula Audit'!I$8</f>
        <v>304712.52646018885</v>
      </c>
      <c r="O272" s="306">
        <f>(N272+O245+O296)*'Formula Audit'!J$8</f>
        <v>378984.66883063503</v>
      </c>
      <c r="P272" s="306">
        <f>(O272+P245+P296)*'Formula Audit'!K$8</f>
        <v>457472.99314677989</v>
      </c>
      <c r="Q272" s="307">
        <f>(P272+Q245+Q296)*'Formula Audit'!L$8</f>
        <v>542113.01832111937</v>
      </c>
    </row>
    <row r="273" spans="1:17" x14ac:dyDescent="0.3">
      <c r="A273" s="64"/>
      <c r="B273" s="398"/>
      <c r="C273" s="27"/>
      <c r="D273" s="220" t="s">
        <v>144</v>
      </c>
      <c r="E273" s="27"/>
      <c r="F273" s="27"/>
      <c r="G273" s="27"/>
      <c r="H273" s="318">
        <f>SUM(H271:H272)</f>
        <v>125447.46463079622</v>
      </c>
      <c r="I273" s="299">
        <f>SUM(I271:I272)</f>
        <v>147490.77221362846</v>
      </c>
      <c r="J273" s="299">
        <f>SUM(J271:J272)</f>
        <v>181540.50862850924</v>
      </c>
      <c r="K273" s="299">
        <f>SUM(K271:K272)</f>
        <v>226209.85574383481</v>
      </c>
      <c r="L273" s="299">
        <f>SUM(L271:L272)</f>
        <v>275318.06220290018</v>
      </c>
      <c r="M273" s="299">
        <f>SUM(M271:M272)</f>
        <v>333976.15216625168</v>
      </c>
      <c r="N273" s="299">
        <f>SUM(N271:N272)</f>
        <v>397515.52646018885</v>
      </c>
      <c r="O273" s="299">
        <f>SUM(O271:O272)</f>
        <v>471787.66883063503</v>
      </c>
      <c r="P273" s="299">
        <f>SUM(P271:P272)</f>
        <v>550275.99314677995</v>
      </c>
      <c r="Q273" s="300">
        <f>SUM(Q271:Q272)</f>
        <v>634916.01832111937</v>
      </c>
    </row>
    <row r="274" spans="1:17" x14ac:dyDescent="0.3">
      <c r="A274" s="64"/>
      <c r="B274" s="398"/>
      <c r="C274" s="220" t="s">
        <v>145</v>
      </c>
      <c r="D274" s="27"/>
      <c r="E274" s="27"/>
      <c r="F274" s="27"/>
      <c r="G274" s="27"/>
      <c r="H274" s="318">
        <f>H268+H273</f>
        <v>190810.46463079628</v>
      </c>
      <c r="I274" s="299">
        <f>I268+I273</f>
        <v>267595.73531031294</v>
      </c>
      <c r="J274" s="299">
        <f>J268+J273</f>
        <v>298185.74629727739</v>
      </c>
      <c r="K274" s="299">
        <f>K268+K273</f>
        <v>338703.60757663287</v>
      </c>
      <c r="L274" s="299">
        <f>L268+L273</f>
        <v>384136.33899315319</v>
      </c>
      <c r="M274" s="299">
        <f>M268+M273</f>
        <v>434130.52091318666</v>
      </c>
      <c r="N274" s="299">
        <f>N268+N273</f>
        <v>493564.14928493038</v>
      </c>
      <c r="O274" s="299">
        <f>O268+O273</f>
        <v>562308.71014635277</v>
      </c>
      <c r="P274" s="299">
        <f>P268+P273</f>
        <v>636721.68596549076</v>
      </c>
      <c r="Q274" s="300">
        <f>Q268+Q273</f>
        <v>716947.12774261285</v>
      </c>
    </row>
    <row r="275" spans="1:17" x14ac:dyDescent="0.3">
      <c r="A275" s="64"/>
      <c r="B275" s="396"/>
      <c r="C275" s="12"/>
      <c r="D275" s="12"/>
      <c r="E275" s="12"/>
      <c r="F275" s="12"/>
      <c r="G275" s="12"/>
      <c r="H275" s="89"/>
      <c r="I275" s="90"/>
      <c r="J275" s="90"/>
      <c r="K275" s="90"/>
      <c r="L275" s="90"/>
      <c r="M275" s="90"/>
      <c r="N275" s="90"/>
      <c r="O275" s="90"/>
      <c r="P275" s="90"/>
      <c r="Q275" s="91"/>
    </row>
    <row r="276" spans="1:17" x14ac:dyDescent="0.3">
      <c r="A276" s="182"/>
      <c r="B276" s="403"/>
      <c r="C276" s="183"/>
      <c r="D276" s="327" t="s">
        <v>146</v>
      </c>
      <c r="E276" s="327"/>
      <c r="F276" s="327"/>
      <c r="G276" s="327"/>
      <c r="H276" s="243">
        <f>H258-H274</f>
        <v>0</v>
      </c>
      <c r="I276" s="328">
        <f>I258-I274</f>
        <v>0</v>
      </c>
      <c r="J276" s="328">
        <f>J258-J274</f>
        <v>0</v>
      </c>
      <c r="K276" s="328">
        <f>K258-K274</f>
        <v>0</v>
      </c>
      <c r="L276" s="328">
        <f>L258-L274</f>
        <v>0</v>
      </c>
      <c r="M276" s="328">
        <f>M258-M274</f>
        <v>0</v>
      </c>
      <c r="N276" s="328">
        <f>N258-N274</f>
        <v>0</v>
      </c>
      <c r="O276" s="328">
        <f>O258-O274</f>
        <v>0</v>
      </c>
      <c r="P276" s="328">
        <f>P258-P274</f>
        <v>0</v>
      </c>
      <c r="Q276" s="323">
        <f>Q258-Q274</f>
        <v>0</v>
      </c>
    </row>
    <row r="277" spans="1:17" x14ac:dyDescent="0.3">
      <c r="A277" s="64"/>
      <c r="B277" s="396"/>
      <c r="C277" s="92"/>
      <c r="D277" s="92"/>
      <c r="E277" s="92"/>
      <c r="F277" s="92"/>
      <c r="G277" s="11"/>
      <c r="H277" s="159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x14ac:dyDescent="0.3">
      <c r="A278" s="64"/>
      <c r="B278" s="33"/>
      <c r="C278" s="33" t="s">
        <v>147</v>
      </c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 spans="1:17" x14ac:dyDescent="0.3">
      <c r="A279" s="64"/>
      <c r="B279" s="33"/>
      <c r="C279" s="33" t="s">
        <v>148</v>
      </c>
      <c r="D279" s="33"/>
      <c r="E279" s="33"/>
      <c r="F279" s="33"/>
      <c r="G279" s="33"/>
      <c r="H279" s="147"/>
      <c r="I279" s="148"/>
      <c r="J279" s="148"/>
      <c r="K279" s="148"/>
      <c r="L279" s="148"/>
      <c r="M279" s="148"/>
      <c r="N279" s="148"/>
      <c r="O279" s="148"/>
      <c r="P279" s="148"/>
      <c r="Q279" s="149"/>
    </row>
    <row r="280" spans="1:17" x14ac:dyDescent="0.3">
      <c r="A280" s="64"/>
      <c r="B280" s="398"/>
      <c r="C280" s="27"/>
      <c r="D280" s="220" t="s">
        <v>130</v>
      </c>
      <c r="E280" s="27"/>
      <c r="F280" s="27"/>
      <c r="G280" s="27"/>
      <c r="H280" s="331">
        <f>'Forecast Model'!T170</f>
        <v>38377.846209584721</v>
      </c>
      <c r="I280" s="299">
        <f>I245</f>
        <v>25914.796824893565</v>
      </c>
      <c r="J280" s="299">
        <f>J245</f>
        <v>40029.927351739141</v>
      </c>
      <c r="K280" s="299">
        <f>K245</f>
        <v>52514.671423260748</v>
      </c>
      <c r="L280" s="299">
        <f>L245</f>
        <v>57733.13229148752</v>
      </c>
      <c r="M280" s="299">
        <f>M245</f>
        <v>68960.271856864012</v>
      </c>
      <c r="N280" s="299">
        <f>N245</f>
        <v>74698.861276637937</v>
      </c>
      <c r="O280" s="299">
        <f>O245</f>
        <v>87316.636672924302</v>
      </c>
      <c r="P280" s="299">
        <f>P245</f>
        <v>92273.311078024097</v>
      </c>
      <c r="Q280" s="300">
        <f>Q245</f>
        <v>99505.441613270814</v>
      </c>
    </row>
    <row r="281" spans="1:17" x14ac:dyDescent="0.3">
      <c r="A281" s="64"/>
      <c r="B281" s="396"/>
      <c r="C281" s="12"/>
      <c r="D281" s="216" t="s">
        <v>149</v>
      </c>
      <c r="E281" s="12"/>
      <c r="F281" s="12"/>
      <c r="G281" s="12"/>
      <c r="H281" s="305">
        <f>'Forecast Model'!T171</f>
        <v>8660.0891640000009</v>
      </c>
      <c r="I281" s="328">
        <f>I234</f>
        <v>8684.5087070062164</v>
      </c>
      <c r="J281" s="328">
        <f>J234</f>
        <v>9421.723582304121</v>
      </c>
      <c r="K281" s="328">
        <f>K234</f>
        <v>9853.350359138165</v>
      </c>
      <c r="L281" s="328">
        <f>L234</f>
        <v>11190.022454319289</v>
      </c>
      <c r="M281" s="328">
        <f>M234</f>
        <v>13056.997714622221</v>
      </c>
      <c r="N281" s="328">
        <f>N234</f>
        <v>13065.703518950162</v>
      </c>
      <c r="O281" s="328">
        <f>O234</f>
        <v>11986.838664385497</v>
      </c>
      <c r="P281" s="328">
        <f>P234</f>
        <v>10632.263984740413</v>
      </c>
      <c r="Q281" s="323">
        <f>Q234</f>
        <v>9116.2658895777713</v>
      </c>
    </row>
    <row r="282" spans="1:17" x14ac:dyDescent="0.3">
      <c r="A282" s="64"/>
      <c r="B282" s="396"/>
      <c r="C282" s="12"/>
      <c r="D282" s="216" t="s">
        <v>150</v>
      </c>
      <c r="E282" s="12"/>
      <c r="F282" s="12"/>
      <c r="G282" s="12"/>
      <c r="H282" s="305">
        <f>'Forecast Model'!T172</f>
        <v>0</v>
      </c>
      <c r="I282" s="90"/>
      <c r="J282" s="90"/>
      <c r="K282" s="90"/>
      <c r="L282" s="90"/>
      <c r="M282" s="90"/>
      <c r="N282" s="90"/>
      <c r="O282" s="90"/>
      <c r="P282" s="90"/>
      <c r="Q282" s="91"/>
    </row>
    <row r="283" spans="1:17" x14ac:dyDescent="0.3">
      <c r="A283" s="64"/>
      <c r="B283" s="396"/>
      <c r="C283" s="12"/>
      <c r="D283" s="12"/>
      <c r="E283" s="216" t="s">
        <v>73</v>
      </c>
      <c r="F283" s="12"/>
      <c r="G283" s="12"/>
      <c r="H283" s="243">
        <f>0-H251</f>
        <v>0</v>
      </c>
      <c r="I283" s="306">
        <f>-(I251-H251)*'Formula Audit'!D$8</f>
        <v>-43486.646681137456</v>
      </c>
      <c r="J283" s="306">
        <f>-(J251-I251)*'Formula Audit'!E$8</f>
        <v>-2428.6857304948498</v>
      </c>
      <c r="K283" s="306">
        <f>-(K251-J251)*'Formula Audit'!F$8</f>
        <v>-2051.4511368193198</v>
      </c>
      <c r="L283" s="306">
        <f>-(L251-K251)*'Formula Audit'!G$8</f>
        <v>-1607.3669167086045</v>
      </c>
      <c r="M283" s="306">
        <f>-(M251-L251)*'Formula Audit'!H$8</f>
        <v>5262.4702513243319</v>
      </c>
      <c r="N283" s="306">
        <f>-(N251-M251)*'Formula Audit'!I$8</f>
        <v>-989.9229359770834</v>
      </c>
      <c r="O283" s="306">
        <f>-(O251-N251)*'Formula Audit'!J$8</f>
        <v>-1012.0378143668277</v>
      </c>
      <c r="P283" s="306">
        <f>-(P251-O251)*'Formula Audit'!K$8</f>
        <v>-1034.6467391397819</v>
      </c>
      <c r="Q283" s="307">
        <f>-(Q251-P251)*'Formula Audit'!L$8</f>
        <v>-1057.7607472921518</v>
      </c>
    </row>
    <row r="284" spans="1:17" x14ac:dyDescent="0.3">
      <c r="A284" s="64"/>
      <c r="B284" s="396"/>
      <c r="C284" s="12"/>
      <c r="D284" s="12"/>
      <c r="E284" s="216" t="s">
        <v>74</v>
      </c>
      <c r="F284" s="12"/>
      <c r="G284" s="12"/>
      <c r="H284" s="243">
        <f>0-H252</f>
        <v>0</v>
      </c>
      <c r="I284" s="306">
        <f>-(I252-H252)*'Formula Audit'!D$8</f>
        <v>-48003.10398589012</v>
      </c>
      <c r="J284" s="306">
        <f>-(J252-I252)*'Formula Audit'!E$8</f>
        <v>-1028.4207442890038</v>
      </c>
      <c r="K284" s="306">
        <f>-(K252-J252)*'Formula Audit'!F$8</f>
        <v>-4146.2110957763653</v>
      </c>
      <c r="L284" s="306">
        <f>-(L252-K252)*'Formula Audit'!G$8</f>
        <v>-1366.1135464181425</v>
      </c>
      <c r="M284" s="306">
        <f>-(M252-L252)*'Formula Audit'!H$8</f>
        <v>228.39604135486297</v>
      </c>
      <c r="N284" s="306">
        <f>-(N252-M252)*'Formula Audit'!I$8</f>
        <v>-5123.8903653328234</v>
      </c>
      <c r="O284" s="306">
        <f>-(O252-N252)*'Formula Audit'!J$8</f>
        <v>972.57571646037104</v>
      </c>
      <c r="P284" s="306">
        <f>-(P252-O252)*'Formula Audit'!K$8</f>
        <v>-5238.5762530235297</v>
      </c>
      <c r="Q284" s="307">
        <f>-(Q252-P252)*'Formula Audit'!L$8</f>
        <v>-797.12401145973126</v>
      </c>
    </row>
    <row r="285" spans="1:17" x14ac:dyDescent="0.3">
      <c r="A285" s="64"/>
      <c r="B285" s="396"/>
      <c r="C285" s="12"/>
      <c r="D285" s="12"/>
      <c r="E285" s="216" t="s">
        <v>77</v>
      </c>
      <c r="F285" s="12"/>
      <c r="G285" s="12"/>
      <c r="H285" s="243">
        <f>H261-0</f>
        <v>0</v>
      </c>
      <c r="I285" s="306">
        <f>(I261-H261)*'Formula Audit'!D$8</f>
        <v>38547.947140184493</v>
      </c>
      <c r="J285" s="306">
        <f>(J261-I261)*'Formula Audit'!E$8</f>
        <v>825.85302192904055</v>
      </c>
      <c r="K285" s="306">
        <f>(K261-J261)*'Formula Audit'!F$8</f>
        <v>322.2561586701413</v>
      </c>
      <c r="L285" s="306">
        <f>(L261-K261)*'Formula Audit'!G$8</f>
        <v>1019.7749008473547</v>
      </c>
      <c r="M285" s="306">
        <f>(M261-L261)*'Formula Audit'!H$8</f>
        <v>-3995.5247443225599</v>
      </c>
      <c r="N285" s="306">
        <f>(N261-M261)*'Formula Audit'!I$8</f>
        <v>820.33164670306724</v>
      </c>
      <c r="O285" s="306">
        <f>(O261-N261)*'Formula Audit'!J$8</f>
        <v>-614.25834723813023</v>
      </c>
      <c r="P285" s="306">
        <f>(P261-O261)*'Formula Audit'!K$8</f>
        <v>824.93532421311102</v>
      </c>
      <c r="Q285" s="307">
        <f>(Q261-P261)*'Formula Audit'!L$8</f>
        <v>472.36978456873476</v>
      </c>
    </row>
    <row r="286" spans="1:17" x14ac:dyDescent="0.3">
      <c r="A286" s="64"/>
      <c r="B286" s="396"/>
      <c r="C286" s="12"/>
      <c r="D286" s="12"/>
      <c r="E286" s="216" t="s">
        <v>78</v>
      </c>
      <c r="F286" s="12"/>
      <c r="G286" s="12"/>
      <c r="H286" s="243">
        <f>H262-0</f>
        <v>0</v>
      </c>
      <c r="I286" s="306">
        <f>(I262-H262)*'Formula Audit'!D$8</f>
        <v>21691.01595649997</v>
      </c>
      <c r="J286" s="306">
        <f>(J262-I262)*'Formula Audit'!E$8</f>
        <v>1211.4215501545696</v>
      </c>
      <c r="K286" s="306">
        <f>(K262-J262)*'Formula Audit'!F$8</f>
        <v>1023.2580053598176</v>
      </c>
      <c r="L286" s="306">
        <f>(L262-K262)*'Formula Audit'!G$8</f>
        <v>801.7500566075978</v>
      </c>
      <c r="M286" s="306">
        <f>(M262-L262)*'Formula Audit'!H$8</f>
        <v>828.61670100452102</v>
      </c>
      <c r="N286" s="306">
        <f>(N262-M262)*'Formula Audit'!I$8</f>
        <v>570.92243110345225</v>
      </c>
      <c r="O286" s="306">
        <f>(O262-N262)*'Formula Audit'!J$8</f>
        <v>583.6768382143091</v>
      </c>
      <c r="P286" s="306">
        <f>(P262-O262)*'Formula Audit'!K$8</f>
        <v>596.71617878001416</v>
      </c>
      <c r="Q286" s="307">
        <f>(Q262-P262)*'Formula Audit'!L$8</f>
        <v>610.04681821395934</v>
      </c>
    </row>
    <row r="287" spans="1:17" x14ac:dyDescent="0.3">
      <c r="A287" s="64"/>
      <c r="B287" s="398"/>
      <c r="C287" s="220" t="s">
        <v>151</v>
      </c>
      <c r="D287" s="27"/>
      <c r="E287" s="27"/>
      <c r="F287" s="27"/>
      <c r="G287" s="27"/>
      <c r="H287" s="318">
        <f>SUM(H280:H286)</f>
        <v>47037.935373584725</v>
      </c>
      <c r="I287" s="299">
        <f>SUM(I280:I286)</f>
        <v>3348.5179615566667</v>
      </c>
      <c r="J287" s="299">
        <f>SUM(J280:J286)</f>
        <v>48031.819031343017</v>
      </c>
      <c r="K287" s="299">
        <f>SUM(K280:K286)</f>
        <v>57515.873713833193</v>
      </c>
      <c r="L287" s="299">
        <f>SUM(L280:L286)</f>
        <v>67771.199240135</v>
      </c>
      <c r="M287" s="299">
        <f>SUM(M280:M286)</f>
        <v>84341.227820847402</v>
      </c>
      <c r="N287" s="299">
        <f>SUM(N280:N286)</f>
        <v>83042.005572084716</v>
      </c>
      <c r="O287" s="299">
        <f>SUM(O280:O286)</f>
        <v>99233.431730379496</v>
      </c>
      <c r="P287" s="299">
        <f>SUM(P280:P286)</f>
        <v>98054.003573594353</v>
      </c>
      <c r="Q287" s="300">
        <f>SUM(Q280:Q286)</f>
        <v>107849.2393468794</v>
      </c>
    </row>
    <row r="288" spans="1:17" x14ac:dyDescent="0.3">
      <c r="A288" s="64"/>
      <c r="B288" s="396"/>
      <c r="C288" s="12"/>
      <c r="D288" s="12"/>
      <c r="E288" s="12"/>
      <c r="F288" s="12"/>
      <c r="G288" s="12"/>
      <c r="H288" s="89"/>
      <c r="I288" s="90"/>
      <c r="J288" s="90"/>
      <c r="K288" s="90"/>
      <c r="L288" s="90"/>
      <c r="M288" s="90"/>
      <c r="N288" s="90"/>
      <c r="O288" s="90"/>
      <c r="P288" s="90"/>
      <c r="Q288" s="91"/>
    </row>
    <row r="289" spans="1:17" x14ac:dyDescent="0.3">
      <c r="A289" s="64"/>
      <c r="B289" s="33"/>
      <c r="C289" s="33" t="s">
        <v>152</v>
      </c>
      <c r="D289" s="33"/>
      <c r="E289" s="33"/>
      <c r="F289" s="33"/>
      <c r="G289" s="33"/>
      <c r="H289" s="147"/>
      <c r="I289" s="148"/>
      <c r="J289" s="148"/>
      <c r="K289" s="148"/>
      <c r="L289" s="148"/>
      <c r="M289" s="148"/>
      <c r="N289" s="148"/>
      <c r="O289" s="148"/>
      <c r="P289" s="148"/>
      <c r="Q289" s="149"/>
    </row>
    <row r="290" spans="1:17" x14ac:dyDescent="0.3">
      <c r="A290" s="64"/>
      <c r="B290" s="396"/>
      <c r="C290" s="12"/>
      <c r="D290" s="216" t="s">
        <v>153</v>
      </c>
      <c r="E290" s="12"/>
      <c r="F290" s="12"/>
      <c r="G290" s="12"/>
      <c r="H290" s="305">
        <f>'Forecast Model'!T180</f>
        <v>-20892</v>
      </c>
      <c r="I290" s="306">
        <f>-'Control Center'!H46</f>
        <v>-8719</v>
      </c>
      <c r="J290" s="306">
        <f>-'Control Center'!I46</f>
        <v>-10463</v>
      </c>
      <c r="K290" s="306">
        <f>-'Control Center'!J46</f>
        <v>-10463</v>
      </c>
      <c r="L290" s="306">
        <f>-'Control Center'!K46</f>
        <v>-13078</v>
      </c>
      <c r="M290" s="306">
        <f>-'Control Center'!L46</f>
        <v>-15694</v>
      </c>
      <c r="N290" s="306">
        <f>-'Control Center'!M46</f>
        <v>-13078</v>
      </c>
      <c r="O290" s="306">
        <f>-'Control Center'!N46</f>
        <v>-10463</v>
      </c>
      <c r="P290" s="306">
        <f>-'Control Center'!O46</f>
        <v>-8719</v>
      </c>
      <c r="Q290" s="307">
        <f>-'Control Center'!P46</f>
        <v>-6975</v>
      </c>
    </row>
    <row r="291" spans="1:17" x14ac:dyDescent="0.3">
      <c r="A291" s="64"/>
      <c r="B291" s="398"/>
      <c r="C291" s="220" t="s">
        <v>154</v>
      </c>
      <c r="D291" s="27"/>
      <c r="E291" s="27"/>
      <c r="F291" s="27"/>
      <c r="G291" s="27"/>
      <c r="H291" s="318">
        <f>SUM(H290)</f>
        <v>-20892</v>
      </c>
      <c r="I291" s="299">
        <f>SUM(I290)</f>
        <v>-8719</v>
      </c>
      <c r="J291" s="299">
        <f>SUM(J290)</f>
        <v>-10463</v>
      </c>
      <c r="K291" s="299">
        <f>SUM(K290)</f>
        <v>-10463</v>
      </c>
      <c r="L291" s="299">
        <f>SUM(L290)</f>
        <v>-13078</v>
      </c>
      <c r="M291" s="299">
        <f>SUM(M290)</f>
        <v>-15694</v>
      </c>
      <c r="N291" s="299">
        <f>SUM(N290)</f>
        <v>-13078</v>
      </c>
      <c r="O291" s="299">
        <f>SUM(O290)</f>
        <v>-10463</v>
      </c>
      <c r="P291" s="299">
        <f>SUM(P290)</f>
        <v>-8719</v>
      </c>
      <c r="Q291" s="300">
        <f>SUM(Q290)</f>
        <v>-6975</v>
      </c>
    </row>
    <row r="292" spans="1:17" x14ac:dyDescent="0.3">
      <c r="A292" s="64"/>
      <c r="B292" s="396"/>
      <c r="C292" s="12"/>
      <c r="D292" s="12"/>
      <c r="E292" s="12"/>
      <c r="F292" s="12"/>
      <c r="G292" s="12"/>
      <c r="H292" s="89"/>
      <c r="I292" s="90"/>
      <c r="J292" s="90"/>
      <c r="K292" s="90"/>
      <c r="L292" s="90"/>
      <c r="M292" s="90"/>
      <c r="N292" s="90"/>
      <c r="O292" s="90"/>
      <c r="P292" s="90"/>
      <c r="Q292" s="91"/>
    </row>
    <row r="293" spans="1:17" x14ac:dyDescent="0.3">
      <c r="A293" s="64"/>
      <c r="B293" s="33"/>
      <c r="C293" s="33" t="s">
        <v>155</v>
      </c>
      <c r="D293" s="33"/>
      <c r="E293" s="33"/>
      <c r="F293" s="33"/>
      <c r="G293" s="33"/>
      <c r="H293" s="147"/>
      <c r="I293" s="148"/>
      <c r="J293" s="148"/>
      <c r="K293" s="148"/>
      <c r="L293" s="148"/>
      <c r="M293" s="148"/>
      <c r="N293" s="148"/>
      <c r="O293" s="148"/>
      <c r="P293" s="148"/>
      <c r="Q293" s="149"/>
    </row>
    <row r="294" spans="1:17" x14ac:dyDescent="0.3">
      <c r="A294" s="64"/>
      <c r="B294" s="396"/>
      <c r="C294" s="12"/>
      <c r="D294" s="216" t="s">
        <v>156</v>
      </c>
      <c r="E294" s="12"/>
      <c r="F294" s="12"/>
      <c r="G294" s="12"/>
      <c r="H294" s="305">
        <f>'Forecast Model'!T184</f>
        <v>65363.000000000051</v>
      </c>
      <c r="I294" s="306">
        <f>'Control Center'!H52*'Formula Audit'!D$8</f>
        <v>-5497</v>
      </c>
      <c r="J294" s="306">
        <f>'Control Center'!I52*'Formula Audit'!E$8</f>
        <v>-5497</v>
      </c>
      <c r="K294" s="306">
        <f>'Control Center'!J52*'Formula Audit'!F$8</f>
        <v>-5497</v>
      </c>
      <c r="L294" s="306">
        <f>'Control Center'!K52*'Formula Audit'!G$8</f>
        <v>-5497</v>
      </c>
      <c r="M294" s="306">
        <f>'Control Center'!L52*'Formula Audit'!H$8</f>
        <v>-5497</v>
      </c>
      <c r="N294" s="306">
        <f>'Control Center'!M52*'Formula Audit'!I$8</f>
        <v>-5497</v>
      </c>
      <c r="O294" s="306">
        <f>'Control Center'!N52*'Formula Audit'!J$8</f>
        <v>-5497</v>
      </c>
      <c r="P294" s="306">
        <f>'Control Center'!O52*'Formula Audit'!K$8</f>
        <v>-5497</v>
      </c>
      <c r="Q294" s="307">
        <f>'Control Center'!P52*'Formula Audit'!L$8</f>
        <v>-5497</v>
      </c>
    </row>
    <row r="295" spans="1:17" x14ac:dyDescent="0.3">
      <c r="A295" s="64"/>
      <c r="B295" s="396"/>
      <c r="C295" s="12"/>
      <c r="D295" s="216" t="s">
        <v>157</v>
      </c>
      <c r="E295" s="12"/>
      <c r="F295" s="12"/>
      <c r="G295" s="12"/>
      <c r="H295" s="305">
        <f>'Forecast Model'!T185</f>
        <v>92803</v>
      </c>
      <c r="I295" s="306">
        <f>'Control Center'!H53*'Formula Audit'!D$8</f>
        <v>0</v>
      </c>
      <c r="J295" s="306">
        <f>'Control Center'!I53*'Formula Audit'!E$8</f>
        <v>0</v>
      </c>
      <c r="K295" s="306">
        <f>'Control Center'!J53*'Formula Audit'!F$8</f>
        <v>0</v>
      </c>
      <c r="L295" s="306">
        <f>'Control Center'!K53*'Formula Audit'!G$8</f>
        <v>0</v>
      </c>
      <c r="M295" s="306">
        <f>'Control Center'!L53*'Formula Audit'!H$8</f>
        <v>0</v>
      </c>
      <c r="N295" s="306">
        <f>'Control Center'!M53*'Formula Audit'!I$8</f>
        <v>0</v>
      </c>
      <c r="O295" s="306">
        <f>'Control Center'!N53*'Formula Audit'!J$8</f>
        <v>0</v>
      </c>
      <c r="P295" s="306">
        <f>'Control Center'!O53*'Formula Audit'!K$8</f>
        <v>0</v>
      </c>
      <c r="Q295" s="307">
        <f>'Control Center'!P53*'Formula Audit'!L$8</f>
        <v>0</v>
      </c>
    </row>
    <row r="296" spans="1:17" x14ac:dyDescent="0.3">
      <c r="A296" s="64"/>
      <c r="B296" s="396"/>
      <c r="C296" s="12"/>
      <c r="D296" s="216" t="s">
        <v>87</v>
      </c>
      <c r="E296" s="12"/>
      <c r="F296" s="12"/>
      <c r="G296" s="12"/>
      <c r="H296" s="305">
        <f>'Forecast Model'!T186</f>
        <v>-5733.3815787884905</v>
      </c>
      <c r="I296" s="306">
        <f>-'Control Center'!H54*'Forecast Model'!I245*'Formula Audit'!D$8</f>
        <v>-3871.4892420613241</v>
      </c>
      <c r="J296" s="306">
        <f>-'Control Center'!I54*'Forecast Model'!J245*'Formula Audit'!E$8</f>
        <v>-5980.1909368583656</v>
      </c>
      <c r="K296" s="306">
        <f>-'Control Center'!J54*'Forecast Model'!K245*'Formula Audit'!F$8</f>
        <v>-7845.3243079351932</v>
      </c>
      <c r="L296" s="306">
        <f>-'Control Center'!K54*'Forecast Model'!L245*'Formula Audit'!G$8</f>
        <v>-8624.9258324221955</v>
      </c>
      <c r="M296" s="306">
        <f>-'Control Center'!L54*'Forecast Model'!M245*'Formula Audit'!H$8</f>
        <v>-10302.181893512485</v>
      </c>
      <c r="N296" s="306">
        <f>-'Control Center'!M54*'Forecast Model'!N245*'Formula Audit'!I$8</f>
        <v>-11159.486982700771</v>
      </c>
      <c r="O296" s="306">
        <f>-'Control Center'!N54*'Forecast Model'!O245*'Formula Audit'!J$8</f>
        <v>-13044.494302478181</v>
      </c>
      <c r="P296" s="306">
        <f>-'Control Center'!O54*'Forecast Model'!P245*'Formula Audit'!K$8</f>
        <v>-13784.986761879254</v>
      </c>
      <c r="Q296" s="307">
        <f>-'Control Center'!P54*'Forecast Model'!Q245*'Formula Audit'!L$8</f>
        <v>-14865.416438931366</v>
      </c>
    </row>
    <row r="297" spans="1:17" x14ac:dyDescent="0.3">
      <c r="A297" s="64"/>
      <c r="B297" s="398"/>
      <c r="C297" s="220" t="s">
        <v>158</v>
      </c>
      <c r="D297" s="27"/>
      <c r="E297" s="27"/>
      <c r="F297" s="27"/>
      <c r="G297" s="27"/>
      <c r="H297" s="318">
        <f>SUM(H294:H296)</f>
        <v>152432.61842121158</v>
      </c>
      <c r="I297" s="299">
        <f>SUM(I294:I296)</f>
        <v>-9368.4892420613251</v>
      </c>
      <c r="J297" s="299">
        <f>SUM(J294:J296)</f>
        <v>-11477.190936858366</v>
      </c>
      <c r="K297" s="299">
        <f>SUM(K294:K296)</f>
        <v>-13342.324307935192</v>
      </c>
      <c r="L297" s="299">
        <f>SUM(L294:L296)</f>
        <v>-14121.925832422196</v>
      </c>
      <c r="M297" s="299">
        <f>SUM(M294:M296)</f>
        <v>-15799.181893512485</v>
      </c>
      <c r="N297" s="299">
        <f>SUM(N294:N296)</f>
        <v>-16656.486982700771</v>
      </c>
      <c r="O297" s="299">
        <f>SUM(O294:O296)</f>
        <v>-18541.494302478182</v>
      </c>
      <c r="P297" s="299">
        <f>SUM(P294:P296)</f>
        <v>-19281.986761879256</v>
      </c>
      <c r="Q297" s="300">
        <f>SUM(Q294:Q296)</f>
        <v>-20362.416438931366</v>
      </c>
    </row>
    <row r="298" spans="1:17" x14ac:dyDescent="0.3">
      <c r="A298" s="64"/>
      <c r="B298" s="396"/>
      <c r="C298" s="12"/>
      <c r="D298" s="12"/>
      <c r="E298" s="12"/>
      <c r="F298" s="12"/>
      <c r="G298" s="12"/>
      <c r="H298" s="89"/>
      <c r="I298" s="90"/>
      <c r="J298" s="90"/>
      <c r="K298" s="90"/>
      <c r="L298" s="90"/>
      <c r="M298" s="90"/>
      <c r="N298" s="90"/>
      <c r="O298" s="90"/>
      <c r="P298" s="90"/>
      <c r="Q298" s="91"/>
    </row>
    <row r="299" spans="1:17" x14ac:dyDescent="0.3">
      <c r="A299" s="64"/>
      <c r="B299" s="396"/>
      <c r="C299" s="12"/>
      <c r="D299" s="216" t="s">
        <v>159</v>
      </c>
      <c r="E299" s="12"/>
      <c r="F299" s="12"/>
      <c r="G299" s="12"/>
      <c r="H299" s="243">
        <f>H287+H291+H297</f>
        <v>178578.55379479629</v>
      </c>
      <c r="I299" s="328">
        <f>I287+I291+I297</f>
        <v>-14738.971280504658</v>
      </c>
      <c r="J299" s="328">
        <f>J287+J291+J297</f>
        <v>26091.628094484651</v>
      </c>
      <c r="K299" s="328">
        <f>K287+K291+K297</f>
        <v>33710.549405897997</v>
      </c>
      <c r="L299" s="328">
        <f>L287+L291+L297</f>
        <v>40571.273407712804</v>
      </c>
      <c r="M299" s="328">
        <f>M287+M291+M297</f>
        <v>52848.045927334919</v>
      </c>
      <c r="N299" s="328">
        <f>N287+N291+N297</f>
        <v>53307.518589383944</v>
      </c>
      <c r="O299" s="328">
        <f>O287+O291+O297</f>
        <v>70228.937427901314</v>
      </c>
      <c r="P299" s="328">
        <f>P287+P291+P297</f>
        <v>70053.01681171509</v>
      </c>
      <c r="Q299" s="323">
        <f>Q287+Q291+Q297</f>
        <v>80511.822907948037</v>
      </c>
    </row>
    <row r="300" spans="1:17" x14ac:dyDescent="0.3">
      <c r="A300" s="64"/>
      <c r="B300" s="396"/>
      <c r="C300" s="12"/>
      <c r="D300" s="216" t="s">
        <v>160</v>
      </c>
      <c r="E300" s="12"/>
      <c r="F300" s="12"/>
      <c r="G300" s="12"/>
      <c r="H300" s="326">
        <v>0</v>
      </c>
      <c r="I300" s="306">
        <f>H301*'Formula Audit'!D$8</f>
        <v>178578.55379479629</v>
      </c>
      <c r="J300" s="306">
        <f>I301*'Formula Audit'!E$8</f>
        <v>163839.58251429163</v>
      </c>
      <c r="K300" s="306">
        <f>J301*'Formula Audit'!F$8</f>
        <v>189931.21060877628</v>
      </c>
      <c r="L300" s="306">
        <f>K301*'Formula Audit'!G$8</f>
        <v>223641.76001467428</v>
      </c>
      <c r="M300" s="306">
        <f>L301*'Formula Audit'!H$8</f>
        <v>264213.03342238709</v>
      </c>
      <c r="N300" s="306">
        <f>M301*'Formula Audit'!I$8</f>
        <v>317061.07934972201</v>
      </c>
      <c r="O300" s="306">
        <f>N301*'Formula Audit'!J$8</f>
        <v>370368.59793910594</v>
      </c>
      <c r="P300" s="306">
        <f>O301*'Formula Audit'!K$8</f>
        <v>440597.53536700725</v>
      </c>
      <c r="Q300" s="307">
        <f>P301*'Formula Audit'!L$8</f>
        <v>510650.55217872234</v>
      </c>
    </row>
    <row r="301" spans="1:17" x14ac:dyDescent="0.3">
      <c r="A301" s="64"/>
      <c r="B301" s="398"/>
      <c r="C301" s="220" t="s">
        <v>161</v>
      </c>
      <c r="D301" s="27"/>
      <c r="E301" s="27"/>
      <c r="F301" s="27"/>
      <c r="G301" s="27"/>
      <c r="H301" s="318">
        <f>SUM(H299:H300)</f>
        <v>178578.55379479629</v>
      </c>
      <c r="I301" s="299">
        <f>SUM(I299:I300)</f>
        <v>163839.58251429163</v>
      </c>
      <c r="J301" s="299">
        <f>SUM(J299:J300)</f>
        <v>189931.21060877628</v>
      </c>
      <c r="K301" s="299">
        <f>SUM(K299:K300)</f>
        <v>223641.76001467428</v>
      </c>
      <c r="L301" s="299">
        <f>SUM(L299:L300)</f>
        <v>264213.03342238709</v>
      </c>
      <c r="M301" s="299">
        <f>SUM(M299:M300)</f>
        <v>317061.07934972201</v>
      </c>
      <c r="N301" s="299">
        <f>SUM(N299:N300)</f>
        <v>370368.59793910594</v>
      </c>
      <c r="O301" s="299">
        <f>SUM(O299:O300)</f>
        <v>440597.53536700725</v>
      </c>
      <c r="P301" s="299">
        <f>SUM(P299:P300)</f>
        <v>510650.55217872234</v>
      </c>
      <c r="Q301" s="300">
        <f>SUM(Q299:Q300)</f>
        <v>591162.37508667039</v>
      </c>
    </row>
    <row r="302" spans="1:17" x14ac:dyDescent="0.3">
      <c r="A302" s="64"/>
      <c r="B302" s="396"/>
      <c r="C302" s="396"/>
      <c r="D302" s="396"/>
      <c r="E302" s="396"/>
      <c r="F302" s="396"/>
      <c r="G302" s="396"/>
      <c r="H302" s="65"/>
      <c r="I302" s="396"/>
      <c r="J302" s="396"/>
      <c r="K302" s="396"/>
      <c r="L302" s="396"/>
      <c r="M302" s="396"/>
      <c r="N302" s="396"/>
      <c r="O302" s="396"/>
      <c r="P302" s="396"/>
      <c r="Q302" s="396"/>
    </row>
  </sheetData>
  <mergeCells count="6">
    <mergeCell ref="H6:S6"/>
    <mergeCell ref="B2:T2"/>
    <mergeCell ref="H106:S106"/>
    <mergeCell ref="B101:T101"/>
    <mergeCell ref="H215:Q215"/>
    <mergeCell ref="B211:Q211"/>
  </mergeCells>
  <conditionalFormatting sqref="H19">
    <cfRule type="expression" dxfId="144" priority="118">
      <formula>$H$19&lt;0</formula>
    </cfRule>
  </conditionalFormatting>
  <conditionalFormatting sqref="H29">
    <cfRule type="expression" dxfId="143" priority="105">
      <formula>$H$29&lt;0</formula>
    </cfRule>
  </conditionalFormatting>
  <conditionalFormatting sqref="H36">
    <cfRule type="expression" dxfId="142" priority="92">
      <formula>$H$36&lt;0</formula>
    </cfRule>
  </conditionalFormatting>
  <conditionalFormatting sqref="H119">
    <cfRule type="expression" dxfId="141" priority="79">
      <formula>$H$20&lt;0</formula>
    </cfRule>
  </conditionalFormatting>
  <conditionalFormatting sqref="H129">
    <cfRule type="expression" dxfId="140" priority="66">
      <formula>$H$30&lt;0</formula>
    </cfRule>
  </conditionalFormatting>
  <conditionalFormatting sqref="H136">
    <cfRule type="expression" dxfId="139" priority="53">
      <formula>$H$36&lt;0</formula>
    </cfRule>
  </conditionalFormatting>
  <conditionalFormatting sqref="H228">
    <cfRule type="expression" dxfId="138" priority="40">
      <formula>$H$19&lt;0</formula>
    </cfRule>
  </conditionalFormatting>
  <conditionalFormatting sqref="H236">
    <cfRule type="expression" dxfId="137" priority="30">
      <formula>$H$27&lt;0</formula>
    </cfRule>
  </conditionalFormatting>
  <conditionalFormatting sqref="H239">
    <cfRule type="expression" dxfId="136" priority="20">
      <formula>$H$30&lt;0</formula>
    </cfRule>
  </conditionalFormatting>
  <conditionalFormatting sqref="H246">
    <cfRule type="expression" dxfId="135" priority="10">
      <formula>$H$37&lt;0</formula>
    </cfRule>
  </conditionalFormatting>
  <conditionalFormatting sqref="I19">
    <cfRule type="expression" dxfId="134" priority="117">
      <formula>$I$19&lt;0</formula>
    </cfRule>
  </conditionalFormatting>
  <conditionalFormatting sqref="I29">
    <cfRule type="expression" dxfId="133" priority="104">
      <formula>$I$29&lt;0</formula>
    </cfRule>
  </conditionalFormatting>
  <conditionalFormatting sqref="I36">
    <cfRule type="expression" dxfId="132" priority="91">
      <formula>$I$36&lt;0</formula>
    </cfRule>
  </conditionalFormatting>
  <conditionalFormatting sqref="I119">
    <cfRule type="expression" dxfId="131" priority="78">
      <formula>$I$20&lt;0</formula>
    </cfRule>
  </conditionalFormatting>
  <conditionalFormatting sqref="I129">
    <cfRule type="expression" dxfId="130" priority="65">
      <formula>$I$30&lt;0</formula>
    </cfRule>
  </conditionalFormatting>
  <conditionalFormatting sqref="I136">
    <cfRule type="expression" dxfId="129" priority="52">
      <formula>$I$36&lt;0</formula>
    </cfRule>
  </conditionalFormatting>
  <conditionalFormatting sqref="I228">
    <cfRule type="expression" dxfId="128" priority="39">
      <formula>$I$19&lt;0</formula>
    </cfRule>
  </conditionalFormatting>
  <conditionalFormatting sqref="I236">
    <cfRule type="expression" dxfId="127" priority="29">
      <formula>$I$27&lt;0</formula>
    </cfRule>
  </conditionalFormatting>
  <conditionalFormatting sqref="I239">
    <cfRule type="expression" dxfId="126" priority="19">
      <formula>$I$30&lt;0</formula>
    </cfRule>
  </conditionalFormatting>
  <conditionalFormatting sqref="I246">
    <cfRule type="expression" dxfId="125" priority="9">
      <formula>$I$37&lt;0</formula>
    </cfRule>
  </conditionalFormatting>
  <conditionalFormatting sqref="J19">
    <cfRule type="expression" dxfId="124" priority="116">
      <formula>$J$19&lt;0</formula>
    </cfRule>
  </conditionalFormatting>
  <conditionalFormatting sqref="J29">
    <cfRule type="expression" dxfId="123" priority="103">
      <formula>$J$29&lt;0</formula>
    </cfRule>
  </conditionalFormatting>
  <conditionalFormatting sqref="J36">
    <cfRule type="expression" dxfId="122" priority="90">
      <formula>$J$36&lt;0</formula>
    </cfRule>
  </conditionalFormatting>
  <conditionalFormatting sqref="J119">
    <cfRule type="expression" dxfId="121" priority="77">
      <formula>$J$20&lt;0</formula>
    </cfRule>
  </conditionalFormatting>
  <conditionalFormatting sqref="J129">
    <cfRule type="expression" dxfId="120" priority="64">
      <formula>$J$30&lt;0</formula>
    </cfRule>
  </conditionalFormatting>
  <conditionalFormatting sqref="J136">
    <cfRule type="expression" dxfId="119" priority="51">
      <formula>$J$36&lt;0</formula>
    </cfRule>
  </conditionalFormatting>
  <conditionalFormatting sqref="J228">
    <cfRule type="expression" dxfId="118" priority="38">
      <formula>$J$19&lt;0</formula>
    </cfRule>
  </conditionalFormatting>
  <conditionalFormatting sqref="J236">
    <cfRule type="expression" dxfId="117" priority="28">
      <formula>$J$27&lt;0</formula>
    </cfRule>
  </conditionalFormatting>
  <conditionalFormatting sqref="J239">
    <cfRule type="expression" dxfId="116" priority="18">
      <formula>$J$30&lt;0</formula>
    </cfRule>
  </conditionalFormatting>
  <conditionalFormatting sqref="J246">
    <cfRule type="expression" dxfId="115" priority="8">
      <formula>$J$37&lt;0</formula>
    </cfRule>
  </conditionalFormatting>
  <conditionalFormatting sqref="K19">
    <cfRule type="expression" dxfId="114" priority="115">
      <formula>$K$19&lt;0</formula>
    </cfRule>
  </conditionalFormatting>
  <conditionalFormatting sqref="K29">
    <cfRule type="expression" dxfId="113" priority="102">
      <formula>$K$29&lt;0</formula>
    </cfRule>
  </conditionalFormatting>
  <conditionalFormatting sqref="K36">
    <cfRule type="expression" dxfId="112" priority="89">
      <formula>$K$36&lt;0</formula>
    </cfRule>
  </conditionalFormatting>
  <conditionalFormatting sqref="K119">
    <cfRule type="expression" dxfId="111" priority="76">
      <formula>$K$20&lt;0</formula>
    </cfRule>
  </conditionalFormatting>
  <conditionalFormatting sqref="K129">
    <cfRule type="expression" dxfId="110" priority="63">
      <formula>$K$30&lt;0</formula>
    </cfRule>
  </conditionalFormatting>
  <conditionalFormatting sqref="K136">
    <cfRule type="expression" dxfId="109" priority="50">
      <formula>$K$37&lt;0</formula>
    </cfRule>
  </conditionalFormatting>
  <conditionalFormatting sqref="K228">
    <cfRule type="expression" dxfId="108" priority="37">
      <formula>$K$19&lt;0</formula>
    </cfRule>
  </conditionalFormatting>
  <conditionalFormatting sqref="K236">
    <cfRule type="expression" dxfId="107" priority="27">
      <formula>$K$27&lt;0</formula>
    </cfRule>
  </conditionalFormatting>
  <conditionalFormatting sqref="K239">
    <cfRule type="expression" dxfId="106" priority="17">
      <formula>$K$30&lt;0</formula>
    </cfRule>
  </conditionalFormatting>
  <conditionalFormatting sqref="K246">
    <cfRule type="expression" dxfId="105" priority="7">
      <formula>$K$37&lt;0</formula>
    </cfRule>
  </conditionalFormatting>
  <conditionalFormatting sqref="L19">
    <cfRule type="expression" dxfId="104" priority="114">
      <formula>$L$19&lt;0</formula>
    </cfRule>
  </conditionalFormatting>
  <conditionalFormatting sqref="L29">
    <cfRule type="expression" dxfId="103" priority="101">
      <formula>$L$29&lt;0</formula>
    </cfRule>
  </conditionalFormatting>
  <conditionalFormatting sqref="L36">
    <cfRule type="expression" dxfId="102" priority="88">
      <formula>$L$36&lt;0</formula>
    </cfRule>
  </conditionalFormatting>
  <conditionalFormatting sqref="L119">
    <cfRule type="expression" dxfId="101" priority="75">
      <formula>$L$20&lt;0</formula>
    </cfRule>
  </conditionalFormatting>
  <conditionalFormatting sqref="L129">
    <cfRule type="expression" dxfId="100" priority="62">
      <formula>$L$30&lt;0</formula>
    </cfRule>
  </conditionalFormatting>
  <conditionalFormatting sqref="L136">
    <cfRule type="expression" dxfId="99" priority="49">
      <formula>$L$37&lt;0</formula>
    </cfRule>
  </conditionalFormatting>
  <conditionalFormatting sqref="L228">
    <cfRule type="expression" dxfId="98" priority="36">
      <formula>$L$19&lt;0</formula>
    </cfRule>
  </conditionalFormatting>
  <conditionalFormatting sqref="L236">
    <cfRule type="expression" dxfId="97" priority="26">
      <formula>$L$27&lt;0</formula>
    </cfRule>
  </conditionalFormatting>
  <conditionalFormatting sqref="L239">
    <cfRule type="expression" dxfId="96" priority="16">
      <formula>$L$30&lt;0</formula>
    </cfRule>
  </conditionalFormatting>
  <conditionalFormatting sqref="L246">
    <cfRule type="expression" dxfId="95" priority="6">
      <formula>$L$37&lt;0</formula>
    </cfRule>
  </conditionalFormatting>
  <conditionalFormatting sqref="M19">
    <cfRule type="expression" dxfId="94" priority="113">
      <formula>$M$19&lt;0</formula>
    </cfRule>
  </conditionalFormatting>
  <conditionalFormatting sqref="M29">
    <cfRule type="expression" dxfId="93" priority="100">
      <formula>$M$29&lt;0</formula>
    </cfRule>
  </conditionalFormatting>
  <conditionalFormatting sqref="M36">
    <cfRule type="expression" dxfId="92" priority="87">
      <formula>$M$36&lt;0</formula>
    </cfRule>
  </conditionalFormatting>
  <conditionalFormatting sqref="M119">
    <cfRule type="expression" dxfId="91" priority="74">
      <formula>$M$20&lt;0</formula>
    </cfRule>
  </conditionalFormatting>
  <conditionalFormatting sqref="M129">
    <cfRule type="expression" dxfId="90" priority="61">
      <formula>$M$30&lt;0</formula>
    </cfRule>
  </conditionalFormatting>
  <conditionalFormatting sqref="M136">
    <cfRule type="expression" dxfId="89" priority="48">
      <formula>$M$37&lt;0</formula>
    </cfRule>
  </conditionalFormatting>
  <conditionalFormatting sqref="M228">
    <cfRule type="expression" dxfId="88" priority="35">
      <formula>$M$19&lt;0</formula>
    </cfRule>
  </conditionalFormatting>
  <conditionalFormatting sqref="M236">
    <cfRule type="expression" dxfId="87" priority="25">
      <formula>$M$27&lt;0</formula>
    </cfRule>
  </conditionalFormatting>
  <conditionalFormatting sqref="M239">
    <cfRule type="expression" dxfId="86" priority="15">
      <formula>$M$30&lt;0</formula>
    </cfRule>
  </conditionalFormatting>
  <conditionalFormatting sqref="M246">
    <cfRule type="expression" dxfId="85" priority="5">
      <formula>$M$37&lt;0</formula>
    </cfRule>
  </conditionalFormatting>
  <conditionalFormatting sqref="N19">
    <cfRule type="expression" dxfId="84" priority="112">
      <formula>$N$19&lt;0</formula>
    </cfRule>
  </conditionalFormatting>
  <conditionalFormatting sqref="N29">
    <cfRule type="expression" dxfId="83" priority="99">
      <formula>$N$29&lt;0</formula>
    </cfRule>
  </conditionalFormatting>
  <conditionalFormatting sqref="N36">
    <cfRule type="expression" dxfId="82" priority="86">
      <formula>$N$36&lt;0</formula>
    </cfRule>
  </conditionalFormatting>
  <conditionalFormatting sqref="N119">
    <cfRule type="expression" dxfId="81" priority="73">
      <formula>$N$20&lt;0</formula>
    </cfRule>
  </conditionalFormatting>
  <conditionalFormatting sqref="N129">
    <cfRule type="expression" dxfId="80" priority="60">
      <formula>$N$30&lt;0</formula>
    </cfRule>
  </conditionalFormatting>
  <conditionalFormatting sqref="N136">
    <cfRule type="expression" dxfId="79" priority="47">
      <formula>$N$37&lt;0</formula>
    </cfRule>
  </conditionalFormatting>
  <conditionalFormatting sqref="N228">
    <cfRule type="expression" dxfId="78" priority="34">
      <formula>$N$19&lt;0</formula>
    </cfRule>
  </conditionalFormatting>
  <conditionalFormatting sqref="N236">
    <cfRule type="expression" dxfId="77" priority="24">
      <formula>$N$27&lt;0</formula>
    </cfRule>
  </conditionalFormatting>
  <conditionalFormatting sqref="N239">
    <cfRule type="expression" dxfId="76" priority="14">
      <formula>$N$30&lt;0</formula>
    </cfRule>
  </conditionalFormatting>
  <conditionalFormatting sqref="N246">
    <cfRule type="expression" dxfId="75" priority="4">
      <formula>$N$37&lt;0</formula>
    </cfRule>
  </conditionalFormatting>
  <conditionalFormatting sqref="O19">
    <cfRule type="expression" dxfId="74" priority="111">
      <formula>$O$19&lt;0</formula>
    </cfRule>
  </conditionalFormatting>
  <conditionalFormatting sqref="O29">
    <cfRule type="expression" dxfId="73" priority="98">
      <formula>$O$29&lt;0</formula>
    </cfRule>
  </conditionalFormatting>
  <conditionalFormatting sqref="O36">
    <cfRule type="expression" dxfId="72" priority="85">
      <formula>$O$36&lt;0</formula>
    </cfRule>
  </conditionalFormatting>
  <conditionalFormatting sqref="O119">
    <cfRule type="expression" dxfId="71" priority="72">
      <formula>$O$20&lt;0</formula>
    </cfRule>
  </conditionalFormatting>
  <conditionalFormatting sqref="O129">
    <cfRule type="expression" dxfId="70" priority="59">
      <formula>$O$30&lt;0</formula>
    </cfRule>
  </conditionalFormatting>
  <conditionalFormatting sqref="O136">
    <cfRule type="expression" dxfId="69" priority="46">
      <formula>$O$37&lt;0</formula>
    </cfRule>
  </conditionalFormatting>
  <conditionalFormatting sqref="O228">
    <cfRule type="expression" dxfId="68" priority="33">
      <formula>$O$19&lt;0</formula>
    </cfRule>
  </conditionalFormatting>
  <conditionalFormatting sqref="O236">
    <cfRule type="expression" dxfId="67" priority="23">
      <formula>$O$27&lt;0</formula>
    </cfRule>
  </conditionalFormatting>
  <conditionalFormatting sqref="O239">
    <cfRule type="expression" dxfId="66" priority="13">
      <formula>$O$30&lt;0</formula>
    </cfRule>
  </conditionalFormatting>
  <conditionalFormatting sqref="O246">
    <cfRule type="expression" dxfId="65" priority="3">
      <formula>$O$37&lt;0</formula>
    </cfRule>
  </conditionalFormatting>
  <conditionalFormatting sqref="P19">
    <cfRule type="expression" dxfId="64" priority="110">
      <formula>$P$19&lt;0</formula>
    </cfRule>
  </conditionalFormatting>
  <conditionalFormatting sqref="P29">
    <cfRule type="expression" dxfId="63" priority="97">
      <formula>$P$29&lt;0</formula>
    </cfRule>
  </conditionalFormatting>
  <conditionalFormatting sqref="P36">
    <cfRule type="expression" dxfId="62" priority="84">
      <formula>$P$36&lt;0</formula>
    </cfRule>
  </conditionalFormatting>
  <conditionalFormatting sqref="P119">
    <cfRule type="expression" dxfId="61" priority="71">
      <formula>$P$20&lt;0</formula>
    </cfRule>
  </conditionalFormatting>
  <conditionalFormatting sqref="P129">
    <cfRule type="expression" dxfId="60" priority="58">
      <formula>$P$30&lt;0</formula>
    </cfRule>
  </conditionalFormatting>
  <conditionalFormatting sqref="P136">
    <cfRule type="expression" dxfId="59" priority="45">
      <formula>$P$37&lt;0</formula>
    </cfRule>
  </conditionalFormatting>
  <conditionalFormatting sqref="P228">
    <cfRule type="expression" dxfId="58" priority="32">
      <formula>$P$19&lt;0</formula>
    </cfRule>
  </conditionalFormatting>
  <conditionalFormatting sqref="P236">
    <cfRule type="expression" dxfId="57" priority="22">
      <formula>$P$27&lt;0</formula>
    </cfRule>
  </conditionalFormatting>
  <conditionalFormatting sqref="P239">
    <cfRule type="expression" dxfId="56" priority="12">
      <formula>$P$30&lt;0</formula>
    </cfRule>
  </conditionalFormatting>
  <conditionalFormatting sqref="P246">
    <cfRule type="expression" dxfId="55" priority="2">
      <formula>$P$37&lt;0</formula>
    </cfRule>
  </conditionalFormatting>
  <conditionalFormatting sqref="Q19">
    <cfRule type="expression" dxfId="54" priority="109">
      <formula>$Q$19&lt;0</formula>
    </cfRule>
  </conditionalFormatting>
  <conditionalFormatting sqref="Q29">
    <cfRule type="expression" dxfId="53" priority="96">
      <formula>$Q$29&lt;0</formula>
    </cfRule>
  </conditionalFormatting>
  <conditionalFormatting sqref="Q36">
    <cfRule type="expression" dxfId="52" priority="83">
      <formula>$Q$36&lt;0</formula>
    </cfRule>
  </conditionalFormatting>
  <conditionalFormatting sqref="Q119">
    <cfRule type="expression" dxfId="51" priority="70">
      <formula>$Q$20&lt;0</formula>
    </cfRule>
  </conditionalFormatting>
  <conditionalFormatting sqref="Q129">
    <cfRule type="expression" dxfId="50" priority="57">
      <formula>$Q$30&lt;0</formula>
    </cfRule>
  </conditionalFormatting>
  <conditionalFormatting sqref="Q136">
    <cfRule type="expression" dxfId="49" priority="44">
      <formula>$Q$37&lt;0</formula>
    </cfRule>
  </conditionalFormatting>
  <conditionalFormatting sqref="Q228">
    <cfRule type="expression" dxfId="48" priority="31">
      <formula>$Q$19&lt;0</formula>
    </cfRule>
  </conditionalFormatting>
  <conditionalFormatting sqref="Q236">
    <cfRule type="expression" dxfId="47" priority="21">
      <formula>$Q$27&lt;0</formula>
    </cfRule>
  </conditionalFormatting>
  <conditionalFormatting sqref="Q239">
    <cfRule type="expression" dxfId="46" priority="11">
      <formula>$Q$30&lt;0</formula>
    </cfRule>
  </conditionalFormatting>
  <conditionalFormatting sqref="Q246">
    <cfRule type="expression" dxfId="45" priority="1">
      <formula>$Q$37&lt;0</formula>
    </cfRule>
  </conditionalFormatting>
  <conditionalFormatting sqref="R19">
    <cfRule type="expression" dxfId="44" priority="108">
      <formula>$R$19&lt;0</formula>
    </cfRule>
  </conditionalFormatting>
  <conditionalFormatting sqref="R29">
    <cfRule type="expression" dxfId="43" priority="95">
      <formula>$R$29&lt;0</formula>
    </cfRule>
  </conditionalFormatting>
  <conditionalFormatting sqref="R36">
    <cfRule type="expression" dxfId="42" priority="82">
      <formula>$R$36&lt;0</formula>
    </cfRule>
  </conditionalFormatting>
  <conditionalFormatting sqref="R119">
    <cfRule type="expression" dxfId="41" priority="69">
      <formula>$R$20&lt;0</formula>
    </cfRule>
  </conditionalFormatting>
  <conditionalFormatting sqref="R129">
    <cfRule type="expression" dxfId="40" priority="56">
      <formula>$R$30&lt;0</formula>
    </cfRule>
  </conditionalFormatting>
  <conditionalFormatting sqref="R136">
    <cfRule type="expression" dxfId="39" priority="43">
      <formula>$R$37&lt;0</formula>
    </cfRule>
  </conditionalFormatting>
  <conditionalFormatting sqref="S19">
    <cfRule type="expression" dxfId="38" priority="107">
      <formula>$S$19&lt;0</formula>
    </cfRule>
  </conditionalFormatting>
  <conditionalFormatting sqref="S29">
    <cfRule type="expression" dxfId="37" priority="94">
      <formula>$S$29&lt;0</formula>
    </cfRule>
  </conditionalFormatting>
  <conditionalFormatting sqref="S36">
    <cfRule type="expression" dxfId="36" priority="81">
      <formula>$S$36&lt;0</formula>
    </cfRule>
  </conditionalFormatting>
  <conditionalFormatting sqref="S119">
    <cfRule type="expression" dxfId="35" priority="68">
      <formula>$S$20&lt;0</formula>
    </cfRule>
  </conditionalFormatting>
  <conditionalFormatting sqref="S129">
    <cfRule type="expression" dxfId="34" priority="55">
      <formula>$S$30&lt;0</formula>
    </cfRule>
  </conditionalFormatting>
  <conditionalFormatting sqref="S136">
    <cfRule type="expression" dxfId="33" priority="42">
      <formula>$S$37&lt;0</formula>
    </cfRule>
  </conditionalFormatting>
  <conditionalFormatting sqref="T19">
    <cfRule type="expression" dxfId="32" priority="106">
      <formula>$T$19&lt;0</formula>
    </cfRule>
  </conditionalFormatting>
  <conditionalFormatting sqref="T29">
    <cfRule type="expression" dxfId="31" priority="93">
      <formula>$T$29&lt;0</formula>
    </cfRule>
  </conditionalFormatting>
  <conditionalFormatting sqref="T36">
    <cfRule type="expression" dxfId="30" priority="80">
      <formula>$T$36&lt;0</formula>
    </cfRule>
  </conditionalFormatting>
  <conditionalFormatting sqref="T119">
    <cfRule type="expression" dxfId="29" priority="67">
      <formula>$T$20&lt;0</formula>
    </cfRule>
  </conditionalFormatting>
  <conditionalFormatting sqref="T129">
    <cfRule type="expression" dxfId="28" priority="54">
      <formula>$T$30&lt;0</formula>
    </cfRule>
  </conditionalFormatting>
  <conditionalFormatting sqref="T136">
    <cfRule type="expression" dxfId="27" priority="41">
      <formula>$T$37&lt;0</formula>
    </cfRule>
  </conditionalFormatting>
  <dataValidations count="1">
    <dataValidation showInputMessage="1" showErrorMessage="1" sqref="F105:G105" xr:uid="{E270F6CA-787C-4424-ADC1-A0052FF4BC5C}"/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4CB6BC20-F22E-4437-B1E6-F0821E73CB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Model'!H221:Q221</xm:f>
              <xm:sqref>G221</xm:sqref>
            </x14:sparkline>
            <x14:sparkline>
              <xm:f>'Forecast Model'!H222:Q222</xm:f>
              <xm:sqref>G222</xm:sqref>
            </x14:sparkline>
            <x14:sparkline>
              <xm:f>'Forecast Model'!H223:Q223</xm:f>
              <xm:sqref>G223</xm:sqref>
            </x14:sparkline>
            <x14:sparkline>
              <xm:f>'Forecast Model'!H224:Q224</xm:f>
              <xm:sqref>G224</xm:sqref>
            </x14:sparkline>
            <x14:sparkline>
              <xm:f>'Forecast Model'!H225:Q225</xm:f>
              <xm:sqref>G225</xm:sqref>
            </x14:sparkline>
          </x14:sparklines>
        </x14:sparklineGroup>
        <x14:sparklineGroup type="column" displayEmptyCellsAs="gap" negative="1" xr2:uid="{34D1B4E8-D80E-473A-937D-2F321B2A44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Model'!H227:Q227</xm:f>
              <xm:sqref>G227</xm:sqref>
            </x14:sparkline>
          </x14:sparklines>
        </x14:sparklineGroup>
        <x14:sparklineGroup type="column" displayEmptyCellsAs="gap" negative="1" xr2:uid="{3B13BCAC-460F-4094-BC80-9E43705D52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Model'!H230:Q230</xm:f>
              <xm:sqref>G230</xm:sqref>
            </x14:sparkline>
          </x14:sparklines>
        </x14:sparklineGroup>
        <x14:sparklineGroup type="column" displayEmptyCellsAs="gap" negative="1" xr2:uid="{EBD11B18-BD56-4BF8-AC8A-15728FA99F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Model'!H231:Q231</xm:f>
              <xm:sqref>G231</xm:sqref>
            </x14:sparkline>
          </x14:sparklines>
        </x14:sparklineGroup>
        <x14:sparklineGroup type="column" displayEmptyCellsAs="gap" negative="1" xr2:uid="{02ECF40C-55D7-43BE-80A2-236FC877AB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Model'!H232:Q232</xm:f>
              <xm:sqref>G232</xm:sqref>
            </x14:sparkline>
          </x14:sparklines>
        </x14:sparklineGroup>
        <x14:sparklineGroup type="column" displayEmptyCellsAs="gap" negative="1" xr2:uid="{68F1F9B7-AFFF-4C83-BCAA-3D0473E7EC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Model'!H233:Q233</xm:f>
              <xm:sqref>G233</xm:sqref>
            </x14:sparkline>
          </x14:sparklines>
        </x14:sparklineGroup>
        <x14:sparklineGroup type="column" displayEmptyCellsAs="gap" negative="1" xr2:uid="{4E7E2441-E364-4CF4-8B2A-9A998988397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Model'!H234:Q234</xm:f>
              <xm:sqref>G234</xm:sqref>
            </x14:sparkline>
          </x14:sparklines>
        </x14:sparklineGroup>
        <x14:sparklineGroup type="column" displayEmptyCellsAs="gap" negative="1" xr2:uid="{7D41C6C5-52A5-4E27-826F-344FFAAB75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Model'!H235:Q235</xm:f>
              <xm:sqref>G235</xm:sqref>
            </x14:sparkline>
          </x14:sparklines>
        </x14:sparklineGroup>
        <x14:sparklineGroup type="column" displayEmptyCellsAs="gap" negative="1" xr2:uid="{7DFD9DA9-CD7D-4C2B-B101-0E66CE40F4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Model'!H238:Q238</xm:f>
              <xm:sqref>G238</xm:sqref>
            </x14:sparkline>
          </x14:sparklines>
        </x14:sparklineGroup>
        <x14:sparklineGroup type="column" displayEmptyCellsAs="gap" negative="1" xr2:uid="{DADFC522-E679-435B-80F1-627ED492DD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Model'!H242:Q242</xm:f>
              <xm:sqref>G242</xm:sqref>
            </x14:sparkline>
          </x14:sparklines>
        </x14:sparklineGroup>
        <x14:sparklineGroup type="column" displayEmptyCellsAs="gap" negative="1" xr2:uid="{C8FF19F0-E134-4BA5-9BDD-A1C1CB16BC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Model'!H244:Q244</xm:f>
              <xm:sqref>G244</xm:sqref>
            </x14:sparkline>
          </x14:sparklines>
        </x14:sparklineGroup>
        <x14:sparklineGroup type="column" displayEmptyCellsAs="gap" negative="1" xr2:uid="{3AB25938-EA30-45D6-8284-ECA81B046DE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Model'!H245:Q245</xm:f>
              <xm:sqref>G245</xm:sqref>
            </x14:sparkline>
          </x14:sparklines>
        </x14:sparklineGroup>
        <x14:sparklineGroup type="column" displayEmptyCellsAs="gap" negative="1" xr2:uid="{3F0219E6-C4A2-4150-8973-DC078A09A8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Model'!H250:Q250</xm:f>
              <xm:sqref>G250</xm:sqref>
            </x14:sparkline>
          </x14:sparklines>
        </x14:sparklineGroup>
        <x14:sparklineGroup type="column" displayEmptyCellsAs="gap" negative="1" xr2:uid="{E0DACA8D-2401-4BC7-A749-97E2C5CFA3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Model'!H251:Q251</xm:f>
              <xm:sqref>G251</xm:sqref>
            </x14:sparkline>
          </x14:sparklines>
        </x14:sparklineGroup>
        <x14:sparklineGroup type="column" displayEmptyCellsAs="gap" negative="1" xr2:uid="{0C4767EE-282E-4BF3-B398-71A6536088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Model'!H252:Q252</xm:f>
              <xm:sqref>G252</xm:sqref>
            </x14:sparkline>
          </x14:sparklines>
        </x14:sparklineGroup>
        <x14:sparklineGroup type="column" displayEmptyCellsAs="gap" negative="1" xr2:uid="{46372DC9-338C-4EC6-BA9D-A32C2E0929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Model'!H253:Q253</xm:f>
              <xm:sqref>G253</xm:sqref>
            </x14:sparkline>
          </x14:sparklines>
        </x14:sparklineGroup>
        <x14:sparklineGroup type="column" displayEmptyCellsAs="gap" negative="1" xr2:uid="{45311185-0F3E-4D94-BB4C-C1150A2A17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Model'!H256:Q256</xm:f>
              <xm:sqref>G256</xm:sqref>
            </x14:sparkline>
          </x14:sparklines>
        </x14:sparklineGroup>
        <x14:sparklineGroup type="column" displayEmptyCellsAs="gap" negative="1" xr2:uid="{26336FD5-38AD-4CCB-81C5-6D286125CC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Model'!H257:Q257</xm:f>
              <xm:sqref>G257</xm:sqref>
            </x14:sparkline>
          </x14:sparklines>
        </x14:sparklineGroup>
        <x14:sparklineGroup type="column" displayEmptyCellsAs="gap" negative="1" xr2:uid="{CEEF4299-F229-4BB6-9100-E53ACF2B091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Model'!H258:Q258</xm:f>
              <xm:sqref>G258</xm:sqref>
            </x14:sparkline>
          </x14:sparklines>
        </x14:sparklineGroup>
        <x14:sparklineGroup type="column" displayEmptyCellsAs="gap" negative="1" xr2:uid="{2A5FB5E2-EA47-48DE-A8CA-4663F9C3F9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Model'!H261:Q261</xm:f>
              <xm:sqref>G261</xm:sqref>
            </x14:sparkline>
          </x14:sparklines>
        </x14:sparklineGroup>
        <x14:sparklineGroup type="column" displayEmptyCellsAs="gap" negative="1" xr2:uid="{9C8B0DF6-1825-41A0-B64E-C5C96E36F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Model'!H262:Q262</xm:f>
              <xm:sqref>G262</xm:sqref>
            </x14:sparkline>
          </x14:sparklines>
        </x14:sparklineGroup>
        <x14:sparklineGroup type="column" displayEmptyCellsAs="gap" negative="1" xr2:uid="{DE89184F-C092-4CE9-BB8F-B31D60EA3C2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Model'!H263:Q263</xm:f>
              <xm:sqref>G263</xm:sqref>
            </x14:sparkline>
          </x14:sparklines>
        </x14:sparklineGroup>
        <x14:sparklineGroup type="column" displayEmptyCellsAs="gap" negative="1" xr2:uid="{32AEBF0A-C2D1-4167-873E-A0AB9DB60A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Model'!H266:Q266</xm:f>
              <xm:sqref>G266</xm:sqref>
            </x14:sparkline>
          </x14:sparklines>
        </x14:sparklineGroup>
        <x14:sparklineGroup type="column" displayEmptyCellsAs="gap" negative="1" xr2:uid="{BC58A6B3-0D6B-439A-AA90-32E4FF6274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Model'!H267:Q267</xm:f>
              <xm:sqref>G267</xm:sqref>
            </x14:sparkline>
          </x14:sparklines>
        </x14:sparklineGroup>
        <x14:sparklineGroup type="column" displayEmptyCellsAs="gap" negative="1" xr2:uid="{91A7D0E5-036A-4666-B0C8-F53C137DABF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Model'!H268:Q268</xm:f>
              <xm:sqref>G268</xm:sqref>
            </x14:sparkline>
          </x14:sparklines>
        </x14:sparklineGroup>
        <x14:sparklineGroup type="column" displayEmptyCellsAs="gap" negative="1" xr2:uid="{7FAACEAE-BE31-4C49-9027-367FB65A19A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Model'!H271:Q271</xm:f>
              <xm:sqref>G271</xm:sqref>
            </x14:sparkline>
          </x14:sparklines>
        </x14:sparklineGroup>
        <x14:sparklineGroup type="column" displayEmptyCellsAs="gap" negative="1" xr2:uid="{9397B8A2-2AF6-440D-A691-CDC2377DEA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Model'!H272:Q272</xm:f>
              <xm:sqref>G272</xm:sqref>
            </x14:sparkline>
          </x14:sparklines>
        </x14:sparklineGroup>
        <x14:sparklineGroup type="column" displayEmptyCellsAs="gap" negative="1" xr2:uid="{907584F1-2D2E-4BA9-BC24-ACA2D2F2365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Model'!H273:Q273</xm:f>
              <xm:sqref>G273</xm:sqref>
            </x14:sparkline>
          </x14:sparklines>
        </x14:sparklineGroup>
        <x14:sparklineGroup type="column" displayEmptyCellsAs="gap" negative="1" xr2:uid="{B6EC3BE2-E588-475C-AC74-C2C130DEE1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Model'!H274:Q274</xm:f>
              <xm:sqref>G274</xm:sqref>
            </x14:sparkline>
          </x14:sparklines>
        </x14:sparklineGroup>
        <x14:sparklineGroup type="column" displayEmptyCellsAs="gap" negative="1" xr2:uid="{8D524037-F37C-4780-9858-DA6CBF1C601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Model'!H280:Q280</xm:f>
              <xm:sqref>G280</xm:sqref>
            </x14:sparkline>
          </x14:sparklines>
        </x14:sparklineGroup>
        <x14:sparklineGroup type="column" displayEmptyCellsAs="gap" negative="1" xr2:uid="{DFEC53A4-C45D-48FB-AC14-3B2BAD78F22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Model'!H281:Q281</xm:f>
              <xm:sqref>G281</xm:sqref>
            </x14:sparkline>
          </x14:sparklines>
        </x14:sparklineGroup>
        <x14:sparklineGroup type="column" displayEmptyCellsAs="gap" negative="1" xr2:uid="{9ABA9A4E-9402-46C3-AD65-CCA0A2709F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Model'!H283:Q283</xm:f>
              <xm:sqref>G283</xm:sqref>
            </x14:sparkline>
          </x14:sparklines>
        </x14:sparklineGroup>
        <x14:sparklineGroup type="column" displayEmptyCellsAs="gap" negative="1" xr2:uid="{26FA8D9F-F5F9-4F83-A826-ED9709E625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Model'!H284:Q284</xm:f>
              <xm:sqref>G284</xm:sqref>
            </x14:sparkline>
          </x14:sparklines>
        </x14:sparklineGroup>
        <x14:sparklineGroup type="column" displayEmptyCellsAs="gap" negative="1" xr2:uid="{22A500D0-69CF-4511-977B-E3C4F892AA3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Model'!H285:Q285</xm:f>
              <xm:sqref>G285</xm:sqref>
            </x14:sparkline>
          </x14:sparklines>
        </x14:sparklineGroup>
        <x14:sparklineGroup type="column" displayEmptyCellsAs="gap" negative="1" xr2:uid="{8A417874-DBDF-452F-B5B1-3358AC0340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Model'!H286:Q286</xm:f>
              <xm:sqref>G286</xm:sqref>
            </x14:sparkline>
          </x14:sparklines>
        </x14:sparklineGroup>
        <x14:sparklineGroup type="column" displayEmptyCellsAs="gap" negative="1" xr2:uid="{5ED49F30-5899-4A7F-8021-CB0EE4DB096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Model'!H287:Q287</xm:f>
              <xm:sqref>G287</xm:sqref>
            </x14:sparkline>
          </x14:sparklines>
        </x14:sparklineGroup>
        <x14:sparklineGroup type="column" displayEmptyCellsAs="gap" negative="1" xr2:uid="{A27E9BCE-0F0F-412F-A1A3-7594ACC6A0A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Model'!H290:Q290</xm:f>
              <xm:sqref>G290</xm:sqref>
            </x14:sparkline>
          </x14:sparklines>
        </x14:sparklineGroup>
        <x14:sparklineGroup type="column" displayEmptyCellsAs="gap" negative="1" xr2:uid="{64E0BD48-10E7-4268-9E93-D26D0235D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Model'!H291:Q291</xm:f>
              <xm:sqref>G291</xm:sqref>
            </x14:sparkline>
          </x14:sparklines>
        </x14:sparklineGroup>
        <x14:sparklineGroup type="column" displayEmptyCellsAs="gap" negative="1" xr2:uid="{01DC991D-71C7-433F-8CF3-86ACCA66F65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Model'!H294:Q294</xm:f>
              <xm:sqref>G294</xm:sqref>
            </x14:sparkline>
          </x14:sparklines>
        </x14:sparklineGroup>
        <x14:sparklineGroup type="column" displayEmptyCellsAs="gap" negative="1" xr2:uid="{A66ADA22-8DA8-44CA-8E21-FAC35470F6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Model'!H295:Q295</xm:f>
              <xm:sqref>G295</xm:sqref>
            </x14:sparkline>
          </x14:sparklines>
        </x14:sparklineGroup>
        <x14:sparklineGroup type="column" displayEmptyCellsAs="gap" negative="1" xr2:uid="{AF89228E-BD2F-4CB5-93C5-7541B1D40D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Model'!H296:Q296</xm:f>
              <xm:sqref>G296</xm:sqref>
            </x14:sparkline>
          </x14:sparklines>
        </x14:sparklineGroup>
        <x14:sparklineGroup type="column" displayEmptyCellsAs="gap" negative="1" xr2:uid="{14C2F939-C8A2-4136-900E-E28232B669C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Model'!H297:Q297</xm:f>
              <xm:sqref>G297</xm:sqref>
            </x14:sparkline>
          </x14:sparklines>
        </x14:sparklineGroup>
        <x14:sparklineGroup type="column" displayEmptyCellsAs="gap" negative="1" xr2:uid="{3B60E5E4-BB9B-4054-A289-8DE7E0AF04C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Model'!H299:Q299</xm:f>
              <xm:sqref>G299</xm:sqref>
            </x14:sparkline>
          </x14:sparklines>
        </x14:sparklineGroup>
        <x14:sparklineGroup type="column" displayEmptyCellsAs="gap" negative="1" xr2:uid="{B6FFA72F-7175-4D02-9FD8-53D0C1CB8CD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Model'!H300:Q300</xm:f>
              <xm:sqref>G300</xm:sqref>
            </x14:sparkline>
          </x14:sparklines>
        </x14:sparklineGroup>
        <x14:sparklineGroup type="column" displayEmptyCellsAs="gap" negative="1" xr2:uid="{CD4C7798-10E7-49FC-8334-6D576697397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Model'!H301:Q301</xm:f>
              <xm:sqref>G301</xm:sqref>
            </x14:sparkline>
          </x14:sparklines>
        </x14:sparklineGroup>
        <x14:sparklineGroup type="column" displayEmptyCellsAs="gap" negative="1" xr2:uid="{121CD5E7-8209-401C-AE16-863FB28C49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Model'!H109:S109</xm:f>
              <xm:sqref>G109</xm:sqref>
            </x14:sparkline>
          </x14:sparklines>
        </x14:sparklineGroup>
        <x14:sparklineGroup type="column" displayEmptyCellsAs="gap" negative="1" xr2:uid="{2CC606E9-1100-42B2-ADB9-DE970E1375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Model'!H110:S110</xm:f>
              <xm:sqref>G110</xm:sqref>
            </x14:sparkline>
          </x14:sparklines>
        </x14:sparklineGroup>
        <x14:sparklineGroup type="column" displayEmptyCellsAs="gap" negative="1" xr2:uid="{69F4961C-B13C-4145-B4A4-A451578FD4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Model'!H112:S112</xm:f>
              <xm:sqref>G112</xm:sqref>
            </x14:sparkline>
          </x14:sparklines>
        </x14:sparklineGroup>
        <x14:sparklineGroup type="column" displayEmptyCellsAs="gap" negative="1" xr2:uid="{AD42CA92-DBAC-4C7F-AEA8-8B50767249D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Model'!H113:S113</xm:f>
              <xm:sqref>G113</xm:sqref>
            </x14:sparkline>
          </x14:sparklines>
        </x14:sparklineGroup>
        <x14:sparklineGroup type="column" displayEmptyCellsAs="gap" negative="1" xr2:uid="{6A20CFF2-67B6-4CE7-B40E-B4628643D9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Model'!H114:S114</xm:f>
              <xm:sqref>G114</xm:sqref>
            </x14:sparkline>
          </x14:sparklines>
        </x14:sparklineGroup>
        <x14:sparklineGroup type="column" displayEmptyCellsAs="gap" negative="1" xr2:uid="{559C272D-4FF4-43AE-935D-E2B4D48FB3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Model'!H115:S115</xm:f>
              <xm:sqref>G115</xm:sqref>
            </x14:sparkline>
          </x14:sparklines>
        </x14:sparklineGroup>
        <x14:sparklineGroup type="column" displayEmptyCellsAs="gap" negative="1" xr2:uid="{E3F3F1CA-E92A-4AA3-87C7-143847C4BB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Model'!H116:S116</xm:f>
              <xm:sqref>G116</xm:sqref>
            </x14:sparkline>
          </x14:sparklines>
        </x14:sparklineGroup>
        <x14:sparklineGroup type="column" displayEmptyCellsAs="gap" negative="1" xr2:uid="{23AA1D2A-8E7E-47AA-A63D-75658FCCF6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Model'!H118:S118</xm:f>
              <xm:sqref>G118</xm:sqref>
            </x14:sparkline>
          </x14:sparklines>
        </x14:sparklineGroup>
        <x14:sparklineGroup type="column" displayEmptyCellsAs="gap" negative="1" xr2:uid="{D1A49996-4783-466B-81D4-FC7A1433318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Model'!H121:S121</xm:f>
              <xm:sqref>G121</xm:sqref>
            </x14:sparkline>
          </x14:sparklines>
        </x14:sparklineGroup>
        <x14:sparklineGroup type="column" displayEmptyCellsAs="gap" negative="1" xr2:uid="{E544E78C-6704-4C73-9EE6-3DCC158B7B0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Model'!H122:S122</xm:f>
              <xm:sqref>G122</xm:sqref>
            </x14:sparkline>
          </x14:sparklines>
        </x14:sparklineGroup>
        <x14:sparklineGroup type="column" displayEmptyCellsAs="gap" negative="1" xr2:uid="{4577CF95-C8DF-4653-85EB-E862E602486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Model'!H123:S123</xm:f>
              <xm:sqref>G123</xm:sqref>
            </x14:sparkline>
          </x14:sparklines>
        </x14:sparklineGroup>
        <x14:sparklineGroup type="column" displayEmptyCellsAs="gap" negative="1" xr2:uid="{4DF12DC2-7A80-4F3D-9792-C6FBA6DEA2E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Model'!H124:S124</xm:f>
              <xm:sqref>G124</xm:sqref>
            </x14:sparkline>
          </x14:sparklines>
        </x14:sparklineGroup>
        <x14:sparklineGroup type="column" displayEmptyCellsAs="gap" negative="1" xr2:uid="{C9C1BF5B-74F7-49A0-962C-E6E2107EC7D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Model'!H125:S125</xm:f>
              <xm:sqref>G125</xm:sqref>
            </x14:sparkline>
          </x14:sparklines>
        </x14:sparklineGroup>
        <x14:sparklineGroup type="column" displayEmptyCellsAs="gap" negative="1" xr2:uid="{D9DE3273-4C5F-4919-9C10-464480925E1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Model'!H126:S126</xm:f>
              <xm:sqref>G126</xm:sqref>
            </x14:sparkline>
          </x14:sparklines>
        </x14:sparklineGroup>
        <x14:sparklineGroup type="column" displayEmptyCellsAs="gap" negative="1" xr2:uid="{177A6A74-A02C-49C3-9E5B-7589732BE89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Model'!H128:S128</xm:f>
              <xm:sqref>G128</xm:sqref>
            </x14:sparkline>
          </x14:sparklines>
        </x14:sparklineGroup>
        <x14:sparklineGroup type="column" displayEmptyCellsAs="gap" negative="1" xr2:uid="{86859AF9-7497-4D62-832B-28E523DEF15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Model'!H132:S132</xm:f>
              <xm:sqref>G132</xm:sqref>
            </x14:sparkline>
          </x14:sparklines>
        </x14:sparklineGroup>
        <x14:sparklineGroup type="column" displayEmptyCellsAs="gap" negative="1" xr2:uid="{F89049BA-FC8B-4749-B935-011D7AD285E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Model'!H134:S134</xm:f>
              <xm:sqref>G134</xm:sqref>
            </x14:sparkline>
          </x14:sparklines>
        </x14:sparklineGroup>
        <x14:sparklineGroup type="column" displayEmptyCellsAs="gap" negative="1" xr2:uid="{24F6C74F-D5F3-4B40-93C9-C1CB4F06078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Model'!H135:S135</xm:f>
              <xm:sqref>G135</xm:sqref>
            </x14:sparkline>
          </x14:sparklines>
        </x14:sparklineGroup>
        <x14:sparklineGroup type="column" displayEmptyCellsAs="gap" negative="1" xr2:uid="{0F477D06-2BE1-4384-8BCB-3568E76EBC6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Model'!H131:S131</xm:f>
              <xm:sqref>G131</xm:sqref>
            </x14:sparkline>
          </x14:sparklines>
        </x14:sparklineGroup>
        <x14:sparklineGroup type="column" displayEmptyCellsAs="gap" negative="1" xr2:uid="{3502DD21-8EB3-4AAB-AB3B-4FF65689B1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Model'!H140:S140</xm:f>
              <xm:sqref>G140</xm:sqref>
            </x14:sparkline>
          </x14:sparklines>
        </x14:sparklineGroup>
        <x14:sparklineGroup type="column" displayEmptyCellsAs="gap" negative="1" xr2:uid="{D49BAA83-F52F-4F16-93BC-0B150C7A4B2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Model'!H141:S141</xm:f>
              <xm:sqref>G141</xm:sqref>
            </x14:sparkline>
          </x14:sparklines>
        </x14:sparklineGroup>
        <x14:sparklineGroup type="column" displayEmptyCellsAs="gap" negative="1" xr2:uid="{BF4DD873-3E45-44B3-9BE1-814837F00F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Model'!H142:S142</xm:f>
              <xm:sqref>G142</xm:sqref>
            </x14:sparkline>
          </x14:sparklines>
        </x14:sparklineGroup>
        <x14:sparklineGroup type="column" displayEmptyCellsAs="gap" negative="1" xr2:uid="{30DBADC3-C81F-4822-972B-F4337BF948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Model'!H143:S143</xm:f>
              <xm:sqref>G143</xm:sqref>
            </x14:sparkline>
          </x14:sparklines>
        </x14:sparklineGroup>
        <x14:sparklineGroup type="column" displayEmptyCellsAs="gap" negative="1" xr2:uid="{09D6E5C0-FB70-4D3A-B872-2B852BF233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Model'!H146:S146</xm:f>
              <xm:sqref>G146</xm:sqref>
            </x14:sparkline>
          </x14:sparklines>
        </x14:sparklineGroup>
        <x14:sparklineGroup type="column" displayEmptyCellsAs="gap" negative="1" xr2:uid="{E9684A5D-4CE3-4FDE-81FF-96390E9075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Model'!H147:S147</xm:f>
              <xm:sqref>G147</xm:sqref>
            </x14:sparkline>
          </x14:sparklines>
        </x14:sparklineGroup>
        <x14:sparklineGroup type="column" displayEmptyCellsAs="gap" negative="1" xr2:uid="{C9BB5233-64D2-44EE-BF90-DF095C04F4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Model'!H148:S148</xm:f>
              <xm:sqref>G148</xm:sqref>
            </x14:sparkline>
          </x14:sparklines>
        </x14:sparklineGroup>
        <x14:sparklineGroup type="column" displayEmptyCellsAs="gap" negative="1" xr2:uid="{1BCD0085-88E2-43F8-8506-481A96E255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Model'!H151:S151</xm:f>
              <xm:sqref>G151</xm:sqref>
            </x14:sparkline>
          </x14:sparklines>
        </x14:sparklineGroup>
        <x14:sparklineGroup type="column" displayEmptyCellsAs="gap" negative="1" xr2:uid="{3F78F709-9D97-4EEE-91E5-80BD011574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Model'!H152:S152</xm:f>
              <xm:sqref>G152</xm:sqref>
            </x14:sparkline>
          </x14:sparklines>
        </x14:sparklineGroup>
        <x14:sparklineGroup type="column" displayEmptyCellsAs="gap" negative="1" xr2:uid="{CE4BD5B6-0E85-4B59-8A2C-EBABDECB48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Model'!H153:S153</xm:f>
              <xm:sqref>G153</xm:sqref>
            </x14:sparkline>
          </x14:sparklines>
        </x14:sparklineGroup>
        <x14:sparklineGroup type="column" displayEmptyCellsAs="gap" negative="1" xr2:uid="{CACC8BC8-9FEC-4B23-A040-CFE2D5F3DEC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Model'!H156:S156</xm:f>
              <xm:sqref>G156</xm:sqref>
            </x14:sparkline>
          </x14:sparklines>
        </x14:sparklineGroup>
        <x14:sparklineGroup type="column" displayEmptyCellsAs="gap" negative="1" xr2:uid="{D0C61FAE-9C36-4578-9665-E7E65DB0C91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Model'!H157:S157</xm:f>
              <xm:sqref>G157</xm:sqref>
            </x14:sparkline>
          </x14:sparklines>
        </x14:sparklineGroup>
        <x14:sparklineGroup type="column" displayEmptyCellsAs="gap" negative="1" xr2:uid="{FDE391AF-7AB0-42B3-B9DA-F9C72904C07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Model'!H158:S158</xm:f>
              <xm:sqref>G158</xm:sqref>
            </x14:sparkline>
          </x14:sparklines>
        </x14:sparklineGroup>
        <x14:sparklineGroup type="column" displayEmptyCellsAs="gap" negative="1" xr2:uid="{FD2E8B27-FE7C-406D-BB70-D280FA6B824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Model'!H161:S161</xm:f>
              <xm:sqref>G161</xm:sqref>
            </x14:sparkline>
          </x14:sparklines>
        </x14:sparklineGroup>
        <x14:sparklineGroup type="column" displayEmptyCellsAs="gap" negative="1" xr2:uid="{5E09895A-5908-433A-922A-A8305CB15FB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Model'!H162:S162</xm:f>
              <xm:sqref>G162</xm:sqref>
            </x14:sparkline>
          </x14:sparklines>
        </x14:sparklineGroup>
        <x14:sparklineGroup type="column" displayEmptyCellsAs="gap" negative="1" xr2:uid="{F5FF7C20-0256-48FD-81EF-6AC97E49A6F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Model'!H163:S163</xm:f>
              <xm:sqref>G163</xm:sqref>
            </x14:sparkline>
          </x14:sparklines>
        </x14:sparklineGroup>
        <x14:sparklineGroup type="column" displayEmptyCellsAs="gap" negative="1" xr2:uid="{6F3643C1-5B4D-478B-9E40-DE443665E96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Model'!H164:S164</xm:f>
              <xm:sqref>G164</xm:sqref>
            </x14:sparkline>
          </x14:sparklines>
        </x14:sparklineGroup>
        <x14:sparklineGroup type="column" displayEmptyCellsAs="gap" negative="1" xr2:uid="{27B66C3C-8A74-41D1-9C3F-4D2C8C516A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Model'!H170:S170</xm:f>
              <xm:sqref>G170</xm:sqref>
            </x14:sparkline>
          </x14:sparklines>
        </x14:sparklineGroup>
        <x14:sparklineGroup type="column" displayEmptyCellsAs="gap" negative="1" xr2:uid="{ABF496BA-03B8-4F69-A137-4DE2ADB622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Model'!H171:S171</xm:f>
              <xm:sqref>G171</xm:sqref>
            </x14:sparkline>
          </x14:sparklines>
        </x14:sparklineGroup>
        <x14:sparklineGroup type="column" displayEmptyCellsAs="gap" negative="1" xr2:uid="{D706FF7D-0C5D-495E-BCCC-D1000D2C2D8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Model'!H174:S174</xm:f>
              <xm:sqref>G174</xm:sqref>
            </x14:sparkline>
          </x14:sparklines>
        </x14:sparklineGroup>
        <x14:sparklineGroup type="stacked" displayEmptyCellsAs="gap" negative="1" xr2:uid="{0365E430-E628-4E24-B0C0-4623F69E33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Model'!H173:S173</xm:f>
              <xm:sqref>G173</xm:sqref>
            </x14:sparkline>
          </x14:sparklines>
        </x14:sparklineGroup>
        <x14:sparklineGroup type="column" displayEmptyCellsAs="gap" negative="1" xr2:uid="{2FCE54D1-3DDC-4634-83F7-07D80EE840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Model'!H175:S175</xm:f>
              <xm:sqref>G175</xm:sqref>
            </x14:sparkline>
          </x14:sparklines>
        </x14:sparklineGroup>
        <x14:sparklineGroup type="column" displayEmptyCellsAs="gap" negative="1" xr2:uid="{E1E96B03-3835-4C7D-BC76-A1537D3828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Model'!H176:S176</xm:f>
              <xm:sqref>G176</xm:sqref>
            </x14:sparkline>
          </x14:sparklines>
        </x14:sparklineGroup>
        <x14:sparklineGroup type="column" displayEmptyCellsAs="gap" negative="1" xr2:uid="{F5BD0491-4402-4E94-A6BB-4609B7E6452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Model'!H177:S177</xm:f>
              <xm:sqref>G177</xm:sqref>
            </x14:sparkline>
          </x14:sparklines>
        </x14:sparklineGroup>
        <x14:sparklineGroup type="column" displayEmptyCellsAs="gap" negative="1" xr2:uid="{A5338572-4527-497D-BA84-2F19FA6ECBA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Model'!H180:S180</xm:f>
              <xm:sqref>G180</xm:sqref>
            </x14:sparkline>
          </x14:sparklines>
        </x14:sparklineGroup>
        <x14:sparklineGroup type="column" displayEmptyCellsAs="gap" negative="1" xr2:uid="{6BD9FF0C-7AB3-46FE-95C7-B21E613AC47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Model'!H181:S181</xm:f>
              <xm:sqref>G181</xm:sqref>
            </x14:sparkline>
          </x14:sparklines>
        </x14:sparklineGroup>
        <x14:sparklineGroup type="column" displayEmptyCellsAs="gap" negative="1" xr2:uid="{FFEC8982-FFA1-4258-9F73-0889FF0632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Model'!H184:S184</xm:f>
              <xm:sqref>G184</xm:sqref>
            </x14:sparkline>
          </x14:sparklines>
        </x14:sparklineGroup>
        <x14:sparklineGroup type="column" displayEmptyCellsAs="gap" negative="1" xr2:uid="{617AAA1C-797C-4E70-A9F5-2C8A8F0F4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Model'!H185:S185</xm:f>
              <xm:sqref>G185</xm:sqref>
            </x14:sparkline>
          </x14:sparklines>
        </x14:sparklineGroup>
        <x14:sparklineGroup type="column" displayEmptyCellsAs="gap" negative="1" xr2:uid="{5D1BFCDD-6348-4F27-A0CD-06FCAFE3A60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Model'!H186:S186</xm:f>
              <xm:sqref>G186</xm:sqref>
            </x14:sparkline>
          </x14:sparklines>
        </x14:sparklineGroup>
        <x14:sparklineGroup type="column" displayEmptyCellsAs="gap" negative="1" xr2:uid="{605C7F03-D30C-43CD-8658-B39243AFC15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Model'!H187:S187</xm:f>
              <xm:sqref>G187</xm:sqref>
            </x14:sparkline>
          </x14:sparklines>
        </x14:sparklineGroup>
        <x14:sparklineGroup type="column" displayEmptyCellsAs="gap" negative="1" xr2:uid="{0E5A6EED-24CB-45FF-99EA-6DF8455465B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Model'!H189:S189</xm:f>
              <xm:sqref>G189</xm:sqref>
            </x14:sparkline>
          </x14:sparklines>
        </x14:sparklineGroup>
        <x14:sparklineGroup type="column" displayEmptyCellsAs="gap" negative="1" xr2:uid="{FD2A0ECA-1B94-4C03-80BC-F068EBE6C4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Model'!H190:S190</xm:f>
              <xm:sqref>G190</xm:sqref>
            </x14:sparkline>
          </x14:sparklines>
        </x14:sparklineGroup>
        <x14:sparklineGroup type="column" displayEmptyCellsAs="gap" negative="1" xr2:uid="{D872E0F3-AC21-44F4-8CA2-801B8C8A87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Model'!H191:S191</xm:f>
              <xm:sqref>G191</xm:sqref>
            </x14:sparkline>
          </x14:sparklines>
        </x14:sparklineGroup>
        <x14:sparklineGroup type="column" displayEmptyCellsAs="gap" negative="1" xr2:uid="{DFCA7B4F-694C-4CC3-A37D-5CF1532D9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Model'!H217:Q217</xm:f>
              <xm:sqref>G217</xm:sqref>
            </x14:sparkline>
            <x14:sparkline>
              <xm:f>'Forecast Model'!H218:Q218</xm:f>
              <xm:sqref>G218</xm:sqref>
            </x14:sparkline>
            <x14:sparkline>
              <xm:f>'Forecast Model'!H219:Q219</xm:f>
              <xm:sqref>G219</xm:sqref>
            </x14:sparkline>
          </x14:sparklines>
        </x14:sparklineGroup>
        <x14:sparklineGroup type="column" displayEmptyCellsAs="gap" negative="1" xr2:uid="{9F16664B-6478-4311-A007-2BD132145E5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Model'!H90:S90</xm:f>
              <xm:sqref>G90</xm:sqref>
            </x14:sparkline>
          </x14:sparklines>
        </x14:sparklineGroup>
        <x14:sparklineGroup type="column" displayEmptyCellsAs="gap" negative="1" xr2:uid="{EDC03136-22E3-430C-AD52-971E685EC2F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Model'!H89:S89</xm:f>
              <xm:sqref>G89</xm:sqref>
            </x14:sparkline>
          </x14:sparklines>
        </x14:sparklineGroup>
        <x14:sparklineGroup type="column" displayEmptyCellsAs="gap" negative="1" xr2:uid="{4CDD2892-64FC-4619-BEF1-5DB9D66B49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Model'!H87:S87</xm:f>
              <xm:sqref>G87</xm:sqref>
            </x14:sparkline>
          </x14:sparklines>
        </x14:sparklineGroup>
        <x14:sparklineGroup type="column" displayEmptyCellsAs="gap" negative="1" xr2:uid="{1D3563BD-2ABE-42E5-8596-9538BB4170F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Model'!H86:S86</xm:f>
              <xm:sqref>G86</xm:sqref>
            </x14:sparkline>
          </x14:sparklines>
        </x14:sparklineGroup>
        <x14:sparklineGroup type="column" displayEmptyCellsAs="gap" negative="1" xr2:uid="{E0C5F383-F246-43A1-8062-1B245943F0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Model'!H85:S85</xm:f>
              <xm:sqref>G85</xm:sqref>
            </x14:sparkline>
          </x14:sparklines>
        </x14:sparklineGroup>
        <x14:sparklineGroup type="column" displayEmptyCellsAs="gap" negative="1" xr2:uid="{0DD444E4-2B9D-4447-A55A-9A1525E1C3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Model'!H84:S84</xm:f>
              <xm:sqref>G84</xm:sqref>
            </x14:sparkline>
          </x14:sparklines>
        </x14:sparklineGroup>
        <x14:sparklineGroup type="column" displayEmptyCellsAs="gap" negative="1" xr2:uid="{03EEFAAC-1FC4-4A73-AD39-ECCE67CDD6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Model'!H81:S81</xm:f>
              <xm:sqref>G81</xm:sqref>
            </x14:sparkline>
          </x14:sparklines>
        </x14:sparklineGroup>
        <x14:sparklineGroup type="column" displayEmptyCellsAs="gap" negative="1" xr2:uid="{5ABE04F2-E287-492E-A15D-6112BB4C61E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Model'!H80:S80</xm:f>
              <xm:sqref>G80</xm:sqref>
            </x14:sparkline>
          </x14:sparklines>
        </x14:sparklineGroup>
        <x14:sparklineGroup type="column" displayEmptyCellsAs="gap" negative="1" xr2:uid="{8AD3A5C4-D01D-4CB4-8AD9-859A7550CE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Model'!H77:S77</xm:f>
              <xm:sqref>G77</xm:sqref>
            </x14:sparkline>
          </x14:sparklines>
        </x14:sparklineGroup>
        <x14:sparklineGroup type="column" displayEmptyCellsAs="gap" negative="1" xr2:uid="{7E28404E-6D05-4AE2-BD74-BB1D643CAD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Model'!H76:S76</xm:f>
              <xm:sqref>G76</xm:sqref>
            </x14:sparkline>
          </x14:sparklines>
        </x14:sparklineGroup>
        <x14:sparklineGroup type="column" displayEmptyCellsAs="gap" negative="1" xr2:uid="{72140917-0B5B-4915-827D-523DA39254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Model'!H75:S75</xm:f>
              <xm:sqref>G75</xm:sqref>
            </x14:sparkline>
          </x14:sparklines>
        </x14:sparklineGroup>
        <x14:sparklineGroup type="stacked" displayEmptyCellsAs="gap" negative="1" xr2:uid="{183C38F7-4C37-412C-9000-2CF7DDAE39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Model'!H73:S73</xm:f>
              <xm:sqref>G73</xm:sqref>
            </x14:sparkline>
          </x14:sparklines>
        </x14:sparklineGroup>
        <x14:sparklineGroup type="column" displayEmptyCellsAs="gap" negative="1" xr2:uid="{5631F4B8-1AC7-4EEC-9B44-E0B6324A8B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Model'!H74:S74</xm:f>
              <xm:sqref>G74</xm:sqref>
            </x14:sparkline>
          </x14:sparklines>
        </x14:sparklineGroup>
        <x14:sparklineGroup type="column" displayEmptyCellsAs="gap" negative="1" xr2:uid="{219CA362-8865-4F9B-97A9-DBA3F7051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Model'!H71:S71</xm:f>
              <xm:sqref>G71</xm:sqref>
            </x14:sparkline>
          </x14:sparklines>
        </x14:sparklineGroup>
        <x14:sparklineGroup type="column" displayEmptyCellsAs="gap" negative="1" xr2:uid="{709E2D55-DD3A-4A07-B894-2106E7CEC5B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Model'!H70:S70</xm:f>
              <xm:sqref>G70</xm:sqref>
            </x14:sparkline>
          </x14:sparklines>
        </x14:sparklineGroup>
        <x14:sparklineGroup type="column" displayEmptyCellsAs="gap" negative="1" xr2:uid="{BCC2DCEB-5E76-4F33-B8F1-1207BB9004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Model'!H64:S64</xm:f>
              <xm:sqref>G64</xm:sqref>
            </x14:sparkline>
          </x14:sparklines>
        </x14:sparklineGroup>
        <x14:sparklineGroup type="column" displayEmptyCellsAs="gap" negative="1" xr2:uid="{0BD1A83D-8523-4EB2-AB91-ED9ABAF327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Model'!H63:S63</xm:f>
              <xm:sqref>G63</xm:sqref>
            </x14:sparkline>
          </x14:sparklines>
        </x14:sparklineGroup>
        <x14:sparklineGroup type="column" displayEmptyCellsAs="gap" negative="1" xr2:uid="{91C5BE5B-E921-4036-8A27-6B2C62AC2F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Model'!H62:S62</xm:f>
              <xm:sqref>G62</xm:sqref>
            </x14:sparkline>
          </x14:sparklines>
        </x14:sparklineGroup>
        <x14:sparklineGroup type="column" displayEmptyCellsAs="gap" negative="1" xr2:uid="{73F3E16C-A83F-4B1C-96BE-6095A1E0227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Model'!H61:S61</xm:f>
              <xm:sqref>G61</xm:sqref>
            </x14:sparkline>
          </x14:sparklines>
        </x14:sparklineGroup>
        <x14:sparklineGroup type="column" displayEmptyCellsAs="gap" negative="1" xr2:uid="{944C96FA-0D6A-4801-90CB-B7A1AE79F6D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Model'!H58:S58</xm:f>
              <xm:sqref>G58</xm:sqref>
            </x14:sparkline>
          </x14:sparklines>
        </x14:sparklineGroup>
        <x14:sparklineGroup type="column" displayEmptyCellsAs="gap" negative="1" xr2:uid="{26446022-8810-40AB-B9FC-B9F98FEDB4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Model'!H57:S57</xm:f>
              <xm:sqref>G57</xm:sqref>
            </x14:sparkline>
          </x14:sparklines>
        </x14:sparklineGroup>
        <x14:sparklineGroup type="column" displayEmptyCellsAs="gap" negative="1" xr2:uid="{017066F4-E0FF-4A3C-9075-8DCE7CB3D4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Model'!H56:S56</xm:f>
              <xm:sqref>G56</xm:sqref>
            </x14:sparkline>
          </x14:sparklines>
        </x14:sparklineGroup>
        <x14:sparklineGroup type="column" displayEmptyCellsAs="gap" negative="1" xr2:uid="{C8FCB77F-6E30-48A8-826F-995B9BD980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Model'!H53:S53</xm:f>
              <xm:sqref>G53</xm:sqref>
            </x14:sparkline>
          </x14:sparklines>
        </x14:sparklineGroup>
        <x14:sparklineGroup type="column" displayEmptyCellsAs="gap" negative="1" xr2:uid="{3173E8F2-9CF5-42FA-BD91-1ADCA09FDD2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Model'!H52:S52</xm:f>
              <xm:sqref>G52</xm:sqref>
            </x14:sparkline>
          </x14:sparklines>
        </x14:sparklineGroup>
        <x14:sparklineGroup type="column" displayEmptyCellsAs="gap" negative="1" xr2:uid="{1FBFEE71-F3D7-4E86-A340-81C51CCB0A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Model'!H51:S51</xm:f>
              <xm:sqref>G51</xm:sqref>
            </x14:sparkline>
          </x14:sparklines>
        </x14:sparklineGroup>
        <x14:sparklineGroup type="column" displayEmptyCellsAs="gap" negative="1" xr2:uid="{F2A16329-EDCC-45A5-8722-B34F675BF2E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Model'!H48:S48</xm:f>
              <xm:sqref>G48</xm:sqref>
            </x14:sparkline>
          </x14:sparklines>
        </x14:sparklineGroup>
        <x14:sparklineGroup type="column" displayEmptyCellsAs="gap" negative="1" xr2:uid="{77BBA25F-00A5-473D-9ACC-6133F07E10A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Model'!H47:S47</xm:f>
              <xm:sqref>G47</xm:sqref>
            </x14:sparkline>
          </x14:sparklines>
        </x14:sparklineGroup>
        <x14:sparklineGroup type="column" displayEmptyCellsAs="gap" negative="1" xr2:uid="{EFE6D5B3-D386-449A-BC4E-379EE59ED92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Model'!H46:S46</xm:f>
              <xm:sqref>G46</xm:sqref>
            </x14:sparkline>
          </x14:sparklines>
        </x14:sparklineGroup>
        <x14:sparklineGroup type="column" displayEmptyCellsAs="gap" negative="1" xr2:uid="{4175512B-3959-42DA-B575-1FC00429F4C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Model'!H43:S43</xm:f>
              <xm:sqref>G43</xm:sqref>
            </x14:sparkline>
          </x14:sparklines>
        </x14:sparklineGroup>
        <x14:sparklineGroup type="column" displayEmptyCellsAs="gap" negative="1" xr2:uid="{9925C886-E7AE-44AE-A209-628279C4DA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Model'!H42:S42</xm:f>
              <xm:sqref>G42</xm:sqref>
            </x14:sparkline>
          </x14:sparklines>
        </x14:sparklineGroup>
        <x14:sparklineGroup type="column" displayEmptyCellsAs="gap" negative="1" xr2:uid="{5809839E-BBB9-4376-BAFE-D903B2ACCE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Model'!H41:S41</xm:f>
              <xm:sqref>G41</xm:sqref>
            </x14:sparkline>
          </x14:sparklines>
        </x14:sparklineGroup>
        <x14:sparklineGroup type="column" displayEmptyCellsAs="gap" negative="1" xr2:uid="{154064CD-C1CD-471D-8FB2-B4561D4D55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Model'!H40:S40</xm:f>
              <xm:sqref>G40</xm:sqref>
            </x14:sparkline>
          </x14:sparklines>
        </x14:sparklineGroup>
        <x14:sparklineGroup type="column" displayEmptyCellsAs="gap" negative="1" xr2:uid="{FD732529-FB7B-465A-8BAC-A6145F1222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Model'!H31:S31</xm:f>
              <xm:sqref>G31</xm:sqref>
            </x14:sparkline>
          </x14:sparklines>
        </x14:sparklineGroup>
        <x14:sparklineGroup type="column" displayEmptyCellsAs="gap" negative="1" xr2:uid="{50616F58-C526-41A5-BFA5-65559EDF9A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Model'!H35:S35</xm:f>
              <xm:sqref>G35</xm:sqref>
            </x14:sparkline>
          </x14:sparklines>
        </x14:sparklineGroup>
        <x14:sparklineGroup type="column" displayEmptyCellsAs="gap" negative="1" xr2:uid="{9F17F7C5-FD6E-4234-9AE2-E2AEA49E274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Model'!H34:S34</xm:f>
              <xm:sqref>G34</xm:sqref>
            </x14:sparkline>
          </x14:sparklines>
        </x14:sparklineGroup>
        <x14:sparklineGroup type="column" displayEmptyCellsAs="gap" negative="1" xr2:uid="{48EA07F3-B2CE-40B4-82AB-81607C6F213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Model'!H32:S32</xm:f>
              <xm:sqref>G32</xm:sqref>
            </x14:sparkline>
          </x14:sparklines>
        </x14:sparklineGroup>
        <x14:sparklineGroup type="column" displayEmptyCellsAs="gap" negative="1" xr2:uid="{8745F0CD-B13B-43F1-8302-290242367A0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Model'!H28:S28</xm:f>
              <xm:sqref>G28</xm:sqref>
            </x14:sparkline>
          </x14:sparklines>
        </x14:sparklineGroup>
        <x14:sparklineGroup type="column" displayEmptyCellsAs="gap" negative="1" xr2:uid="{23D7CE44-4BC6-43E6-92E0-ACB76927C8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Model'!H26:S26</xm:f>
              <xm:sqref>G26</xm:sqref>
            </x14:sparkline>
          </x14:sparklines>
        </x14:sparklineGroup>
        <x14:sparklineGroup type="column" displayEmptyCellsAs="gap" negative="1" xr2:uid="{CA6A68EC-9346-4EE3-A401-64FB63023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Model'!H25:S25</xm:f>
              <xm:sqref>G25</xm:sqref>
            </x14:sparkline>
          </x14:sparklines>
        </x14:sparklineGroup>
        <x14:sparklineGroup type="column" displayEmptyCellsAs="gap" negative="1" xr2:uid="{4A3D6544-DEFE-4E97-81DF-89900434724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Model'!H24:S24</xm:f>
              <xm:sqref>G24</xm:sqref>
            </x14:sparkline>
          </x14:sparklines>
        </x14:sparklineGroup>
        <x14:sparklineGroup type="column" displayEmptyCellsAs="gap" negative="1" xr2:uid="{567484B4-755E-493A-A585-16B1E406FB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Model'!H23:S23</xm:f>
              <xm:sqref>G23</xm:sqref>
            </x14:sparkline>
          </x14:sparklines>
        </x14:sparklineGroup>
        <x14:sparklineGroup type="column" displayEmptyCellsAs="gap" negative="1" xr2:uid="{14507C27-8D21-4BDC-8ADC-8B63EDA3F2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Model'!H22:S22</xm:f>
              <xm:sqref>G22</xm:sqref>
            </x14:sparkline>
          </x14:sparklines>
        </x14:sparklineGroup>
        <x14:sparklineGroup type="column" displayEmptyCellsAs="gap" negative="1" xr2:uid="{1041ADA3-4B63-4C9F-BDFD-F5169B2A03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Model'!H21:S21</xm:f>
              <xm:sqref>G21</xm:sqref>
            </x14:sparkline>
          </x14:sparklines>
        </x14:sparklineGroup>
        <x14:sparklineGroup type="column" displayEmptyCellsAs="gap" negative="1" xr2:uid="{04FAC067-4ADD-4CAC-841C-5384EE580A3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Model'!H18:S18</xm:f>
              <xm:sqref>G18</xm:sqref>
            </x14:sparkline>
          </x14:sparklines>
        </x14:sparklineGroup>
        <x14:sparklineGroup type="column" displayEmptyCellsAs="gap" negative="1" xr2:uid="{E10DCD26-D3E1-46D2-BDE5-BAA569C9D3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Model'!H16:S16</xm:f>
              <xm:sqref>G16</xm:sqref>
            </x14:sparkline>
          </x14:sparklines>
        </x14:sparklineGroup>
        <x14:sparklineGroup type="column" displayEmptyCellsAs="gap" negative="1" xr2:uid="{39782AB3-08BA-409B-A2ED-D8406377EA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Model'!H15:S15</xm:f>
              <xm:sqref>G15</xm:sqref>
            </x14:sparkline>
          </x14:sparklines>
        </x14:sparklineGroup>
        <x14:sparklineGroup type="column" displayEmptyCellsAs="gap" negative="1" xr2:uid="{14FF6815-0199-4B06-B9A4-74D624FF3C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Model'!H14:S14</xm:f>
              <xm:sqref>G14</xm:sqref>
            </x14:sparkline>
          </x14:sparklines>
        </x14:sparklineGroup>
        <x14:sparklineGroup type="column" displayEmptyCellsAs="gap" negative="1" xr2:uid="{BF05DB58-C9CF-4BF2-87A0-F6C18B0A1C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Model'!H13:S13</xm:f>
              <xm:sqref>G13</xm:sqref>
            </x14:sparkline>
          </x14:sparklines>
        </x14:sparklineGroup>
        <x14:sparklineGroup type="column" displayEmptyCellsAs="gap" negative="1" xr2:uid="{2F2B67FC-A23F-4A5E-AF57-DC03837481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Model'!H12:S12</xm:f>
              <xm:sqref>G12</xm:sqref>
            </x14:sparkline>
          </x14:sparklines>
        </x14:sparklineGroup>
        <x14:sparklineGroup type="column" displayEmptyCellsAs="gap" negative="1" xr2:uid="{5583A003-8606-4C9B-A660-E379EC0D5F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Model'!H10:S10</xm:f>
              <xm:sqref>G10</xm:sqref>
            </x14:sparkline>
          </x14:sparklines>
        </x14:sparklineGroup>
        <x14:sparklineGroup type="column" displayEmptyCellsAs="gap" negative="1" xr2:uid="{FF3D5DB7-B7A9-4506-9BBE-B4AF0C2AE0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Model'!H9:S9</xm:f>
              <xm:sqref>G9</xm:sqref>
            </x14:sparkline>
          </x14:sparklines>
        </x14:sparklineGroup>
        <x14:sparklineGroup type="column" displayEmptyCellsAs="gap" negative="1" xr2:uid="{64DD27AF-02B7-4720-ADEF-A073C5DE5B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Model'!H8:S8</xm:f>
              <xm:sqref>G8</xm:sqref>
            </x14:sparkline>
          </x14:sparklines>
        </x14:sparklineGroup>
        <x14:sparklineGroup type="column" displayEmptyCellsAs="gap" negative="1" xr2:uid="{B297BA65-6C95-499B-8C0B-9383F3267E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Model'!H108:S108</xm:f>
              <xm:sqref>G108</xm:sqref>
            </x14:sparkline>
          </x14:sparklines>
        </x14:sparklineGroup>
        <x14:sparklineGroup type="column" displayEmptyCellsAs="gap" negative="1" xr2:uid="{5AD5DABD-6403-4041-9831-4F4AFD40451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'Forecast Model'!H91:S91</xm:f>
              <xm:sqref>G91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F7EE-8314-4DDD-BBC3-6A81C8C12C1F}">
  <dimension ref="A1:V202"/>
  <sheetViews>
    <sheetView workbookViewId="0"/>
  </sheetViews>
  <sheetFormatPr defaultRowHeight="14.4" x14ac:dyDescent="0.3"/>
  <cols>
    <col min="1" max="1" width="21.44140625" customWidth="1"/>
    <col min="2" max="2" width="2.44140625" customWidth="1"/>
    <col min="3" max="3" width="33.21875" customWidth="1"/>
    <col min="4" max="4" width="41.44140625" customWidth="1"/>
    <col min="5" max="5" width="20.21875" customWidth="1"/>
    <col min="6" max="7" width="13.77734375" customWidth="1"/>
    <col min="8" max="8" width="21.44140625" customWidth="1"/>
    <col min="9" max="9" width="13.77734375" customWidth="1"/>
    <col min="10" max="10" width="27.21875" customWidth="1"/>
    <col min="11" max="11" width="13.77734375" customWidth="1"/>
    <col min="12" max="12" width="41.44140625" customWidth="1"/>
    <col min="13" max="13" width="13.77734375" customWidth="1"/>
    <col min="14" max="14" width="21.44140625" customWidth="1"/>
    <col min="15" max="22" width="13.77734375" customWidth="1"/>
  </cols>
  <sheetData>
    <row r="1" spans="1:14" x14ac:dyDescent="0.3">
      <c r="A1" s="2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8" x14ac:dyDescent="0.3">
      <c r="A2" s="199" t="s">
        <v>38</v>
      </c>
      <c r="B2" s="446" t="str">
        <f>'Control Center'!F6</f>
        <v/>
      </c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</row>
    <row r="3" spans="1:14" x14ac:dyDescent="0.3">
      <c r="A3" s="9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</row>
    <row r="4" spans="1:14" x14ac:dyDescent="0.3">
      <c r="A4" s="10"/>
      <c r="B4" s="33"/>
      <c r="C4" s="33" t="s">
        <v>34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x14ac:dyDescent="0.3">
      <c r="A5" s="10"/>
      <c r="B5" s="386"/>
      <c r="C5" s="212" t="str">
        <f>'Formula Audit'!A3</f>
        <v>Figures in USD</v>
      </c>
      <c r="D5" s="12"/>
      <c r="E5" s="386"/>
      <c r="F5" s="386"/>
      <c r="G5" s="386"/>
      <c r="H5" s="386"/>
      <c r="I5" s="386"/>
      <c r="J5" s="386"/>
      <c r="K5" s="386"/>
      <c r="L5" s="386"/>
      <c r="M5" s="386"/>
      <c r="N5" s="386"/>
    </row>
    <row r="6" spans="1:14" x14ac:dyDescent="0.3">
      <c r="A6" s="10"/>
      <c r="B6" s="386"/>
      <c r="C6" s="213" t="s">
        <v>50</v>
      </c>
      <c r="D6" s="214" t="str">
        <f>'Control Center'!E25</f>
        <v>Central Case</v>
      </c>
      <c r="E6" s="386"/>
      <c r="F6" s="386"/>
      <c r="G6" s="386"/>
      <c r="H6" s="386"/>
      <c r="I6" s="386"/>
      <c r="J6" s="386"/>
      <c r="K6" s="386"/>
      <c r="L6" s="386"/>
      <c r="M6" s="386"/>
      <c r="N6" s="386"/>
    </row>
    <row r="7" spans="1:14" x14ac:dyDescent="0.3">
      <c r="A7" s="14"/>
      <c r="B7" s="387"/>
      <c r="C7" s="215" t="s">
        <v>165</v>
      </c>
      <c r="D7" s="15"/>
      <c r="E7" s="349">
        <f>'Control Center'!F8</f>
        <v>2025</v>
      </c>
      <c r="F7" s="349">
        <f>'Formula Audit'!D9</f>
        <v>2026</v>
      </c>
      <c r="G7" s="349">
        <f>'Formula Audit'!E9</f>
        <v>2027</v>
      </c>
      <c r="H7" s="349">
        <f>'Formula Audit'!F9</f>
        <v>2028</v>
      </c>
      <c r="I7" s="349">
        <f>'Formula Audit'!G9</f>
        <v>2029</v>
      </c>
      <c r="J7" s="349">
        <f>'Formula Audit'!H9</f>
        <v>2030</v>
      </c>
      <c r="K7" s="349">
        <f>'Formula Audit'!I9</f>
        <v>2031</v>
      </c>
      <c r="L7" s="349">
        <f>'Formula Audit'!J9</f>
        <v>2032</v>
      </c>
      <c r="M7" s="349">
        <f>'Formula Audit'!K9</f>
        <v>2033</v>
      </c>
      <c r="N7" s="349">
        <f>'Formula Audit'!L9</f>
        <v>2034</v>
      </c>
    </row>
    <row r="8" spans="1:14" x14ac:dyDescent="0.3">
      <c r="A8" s="14"/>
      <c r="B8" s="387"/>
      <c r="C8" s="16"/>
      <c r="D8" s="16"/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x14ac:dyDescent="0.3">
      <c r="A9" s="10"/>
      <c r="B9" s="386"/>
      <c r="C9" s="216" t="s">
        <v>92</v>
      </c>
      <c r="D9" s="12"/>
      <c r="E9" s="217">
        <f>'Forecast Model'!H219</f>
        <v>402045.22406400001</v>
      </c>
      <c r="F9" s="218">
        <f>'Forecast Model'!I219</f>
        <v>428989.89293554518</v>
      </c>
      <c r="G9" s="218">
        <f>'Forecast Model'!J219</f>
        <v>452948.5494661025</v>
      </c>
      <c r="H9" s="218">
        <f>'Forecast Model'!K219</f>
        <v>473185.83770769846</v>
      </c>
      <c r="I9" s="218">
        <f>'Forecast Model'!L219</f>
        <v>489042.29512928339</v>
      </c>
      <c r="J9" s="218">
        <f>'Forecast Model'!M219</f>
        <v>505430.1024390657</v>
      </c>
      <c r="K9" s="218">
        <f>'Forecast Model'!N219</f>
        <v>516721.41092755436</v>
      </c>
      <c r="L9" s="218">
        <f>'Forecast Model'!O219</f>
        <v>528264.96724767599</v>
      </c>
      <c r="M9" s="218">
        <f>'Forecast Model'!P219</f>
        <v>540066.40661598905</v>
      </c>
      <c r="N9" s="219">
        <f>'Forecast Model'!Q219</f>
        <v>552131.49013979023</v>
      </c>
    </row>
    <row r="10" spans="1:14" x14ac:dyDescent="0.3">
      <c r="A10" s="10"/>
      <c r="B10" s="388"/>
      <c r="C10" s="220" t="s">
        <v>122</v>
      </c>
      <c r="D10" s="27"/>
      <c r="E10" s="221">
        <f>'Forecast Model'!H227</f>
        <v>179209.12469425469</v>
      </c>
      <c r="F10" s="222">
        <f>'Forecast Model'!I227</f>
        <v>163518.18149842555</v>
      </c>
      <c r="G10" s="222">
        <f>'Forecast Model'!J227</f>
        <v>181789.35967041494</v>
      </c>
      <c r="H10" s="222">
        <f>'Forecast Model'!K227</f>
        <v>199807.33663060336</v>
      </c>
      <c r="I10" s="222">
        <f>'Forecast Model'!L227</f>
        <v>208640.81596144708</v>
      </c>
      <c r="J10" s="222">
        <f>'Forecast Model'!M227</f>
        <v>226202.77193453256</v>
      </c>
      <c r="K10" s="222">
        <f>'Forecast Model'!N227</f>
        <v>231256.14185954997</v>
      </c>
      <c r="L10" s="222">
        <f>'Forecast Model'!O227</f>
        <v>247470.62102846155</v>
      </c>
      <c r="M10" s="222">
        <f>'Forecast Model'!P227</f>
        <v>252999.11470223742</v>
      </c>
      <c r="N10" s="223">
        <f>'Forecast Model'!Q227</f>
        <v>261472.21965588053</v>
      </c>
    </row>
    <row r="11" spans="1:14" x14ac:dyDescent="0.3">
      <c r="A11" s="10"/>
      <c r="B11" s="388"/>
      <c r="C11" s="220" t="s">
        <v>166</v>
      </c>
      <c r="D11" s="27"/>
      <c r="E11" s="28">
        <f>IFERROR('Forecast Model'!H228, "")</f>
        <v>0.44574369739491565</v>
      </c>
      <c r="F11" s="28">
        <f>IFERROR('Forecast Model'!I228, "")</f>
        <v>0.38117024244903086</v>
      </c>
      <c r="G11" s="28">
        <f>IFERROR('Forecast Model'!J228, "")</f>
        <v>0.40134659860307065</v>
      </c>
      <c r="H11" s="28">
        <f>IFERROR('Forecast Model'!K228, "")</f>
        <v>0.42225975654417308</v>
      </c>
      <c r="I11" s="28">
        <f>IFERROR('Forecast Model'!L228, "")</f>
        <v>0.42663143462119307</v>
      </c>
      <c r="J11" s="28">
        <f>IFERROR('Forecast Model'!M228, "")</f>
        <v>0.44754511225773974</v>
      </c>
      <c r="K11" s="28">
        <f>IFERROR('Forecast Model'!N228, "")</f>
        <v>0.44754511225773974</v>
      </c>
      <c r="L11" s="28">
        <f>IFERROR('Forecast Model'!O228, "")</f>
        <v>0.46845927019884215</v>
      </c>
      <c r="M11" s="28">
        <f>IFERROR('Forecast Model'!P228, "")</f>
        <v>0.46845927019884226</v>
      </c>
      <c r="N11" s="29">
        <f>IFERROR('Forecast Model'!Q228, "")</f>
        <v>0.47356875006292476</v>
      </c>
    </row>
    <row r="12" spans="1:14" x14ac:dyDescent="0.3">
      <c r="A12" s="10"/>
      <c r="B12" s="388"/>
      <c r="C12" s="220" t="s">
        <v>167</v>
      </c>
      <c r="D12" s="27"/>
      <c r="E12" s="221">
        <f>'Forecast Model'!H238+'Forecast Model'!H234</f>
        <v>65158.247737733211</v>
      </c>
      <c r="F12" s="222">
        <f>'Forecast Model'!I238+'Forecast Model'!I234</f>
        <v>48048.721615154966</v>
      </c>
      <c r="G12" s="222">
        <f>'Forecast Model'!J238+'Forecast Model'!J234</f>
        <v>67639.878221530889</v>
      </c>
      <c r="H12" s="222">
        <f>'Forecast Model'!K238+'Forecast Model'!K234</f>
        <v>84707.734736064609</v>
      </c>
      <c r="I12" s="222">
        <f>'Forecast Model'!L238+'Forecast Model'!L234</f>
        <v>92796.769247422359</v>
      </c>
      <c r="J12" s="222">
        <f>'Forecast Model'!M238+'Forecast Model'!M234</f>
        <v>109589.33405512087</v>
      </c>
      <c r="K12" s="222">
        <f>'Forecast Model'!N238+'Forecast Model'!N234</f>
        <v>117057.90038019927</v>
      </c>
      <c r="L12" s="222">
        <f>'Forecast Model'!O238+'Forecast Model'!O234</f>
        <v>132796.21939446215</v>
      </c>
      <c r="M12" s="222">
        <f>'Forecast Model'!P238+'Forecast Model'!P234</f>
        <v>137837.91549573449</v>
      </c>
      <c r="N12" s="223">
        <f>'Forecast Model'!Q238+'Forecast Model'!Q234</f>
        <v>145813.3478191043</v>
      </c>
    </row>
    <row r="13" spans="1:14" x14ac:dyDescent="0.3">
      <c r="A13" s="10"/>
      <c r="B13" s="388"/>
      <c r="C13" s="220" t="s">
        <v>130</v>
      </c>
      <c r="D13" s="27"/>
      <c r="E13" s="221">
        <f>'Forecast Model'!H245</f>
        <v>38377.846209584721</v>
      </c>
      <c r="F13" s="222">
        <f>'Forecast Model'!I245</f>
        <v>25914.796824893565</v>
      </c>
      <c r="G13" s="222">
        <f>'Forecast Model'!J245</f>
        <v>40029.927351739141</v>
      </c>
      <c r="H13" s="222">
        <f>'Forecast Model'!K245</f>
        <v>52514.671423260748</v>
      </c>
      <c r="I13" s="222">
        <f>'Forecast Model'!L245</f>
        <v>57733.13229148752</v>
      </c>
      <c r="J13" s="222">
        <f>'Forecast Model'!M245</f>
        <v>68960.271856864012</v>
      </c>
      <c r="K13" s="222">
        <f>'Forecast Model'!N245</f>
        <v>74698.861276637937</v>
      </c>
      <c r="L13" s="222">
        <f>'Forecast Model'!O245</f>
        <v>87316.636672924302</v>
      </c>
      <c r="M13" s="222">
        <f>'Forecast Model'!P245</f>
        <v>92273.311078024097</v>
      </c>
      <c r="N13" s="223">
        <f>'Forecast Model'!Q245</f>
        <v>99505.441613270814</v>
      </c>
    </row>
    <row r="14" spans="1:14" x14ac:dyDescent="0.3">
      <c r="A14" s="10"/>
      <c r="B14" s="386"/>
      <c r="C14" s="216" t="s">
        <v>168</v>
      </c>
      <c r="D14" s="12"/>
      <c r="E14" s="23">
        <f>IFERROR('Forecast Model'!H228,"")</f>
        <v>0.44574369739491565</v>
      </c>
      <c r="F14" s="23">
        <f>IFERROR('Forecast Model'!I228,"")</f>
        <v>0.38117024244903086</v>
      </c>
      <c r="G14" s="23">
        <f>IFERROR('Forecast Model'!J228,"")</f>
        <v>0.40134659860307065</v>
      </c>
      <c r="H14" s="23">
        <f>IFERROR('Forecast Model'!K228,"")</f>
        <v>0.42225975654417308</v>
      </c>
      <c r="I14" s="23">
        <f>IFERROR('Forecast Model'!L228,"")</f>
        <v>0.42663143462119307</v>
      </c>
      <c r="J14" s="23">
        <f>IFERROR('Forecast Model'!M228,"")</f>
        <v>0.44754511225773974</v>
      </c>
      <c r="K14" s="23">
        <f>IFERROR('Forecast Model'!N228,"")</f>
        <v>0.44754511225773974</v>
      </c>
      <c r="L14" s="23">
        <f>IFERROR('Forecast Model'!O228,"")</f>
        <v>0.46845927019884215</v>
      </c>
      <c r="M14" s="23">
        <f>IFERROR('Forecast Model'!P228,"")</f>
        <v>0.46845927019884226</v>
      </c>
      <c r="N14" s="24">
        <f>IFERROR('Forecast Model'!Q228,"")</f>
        <v>0.47356875006292476</v>
      </c>
    </row>
    <row r="15" spans="1:14" x14ac:dyDescent="0.3">
      <c r="A15" s="10"/>
      <c r="B15" s="386"/>
      <c r="C15" s="12"/>
      <c r="D15" s="12"/>
      <c r="E15" s="17"/>
      <c r="F15" s="18"/>
      <c r="G15" s="18"/>
      <c r="H15" s="18"/>
      <c r="I15" s="18"/>
      <c r="J15" s="18"/>
      <c r="K15" s="18"/>
      <c r="L15" s="18"/>
      <c r="M15" s="18"/>
      <c r="N15" s="19"/>
    </row>
    <row r="16" spans="1:14" x14ac:dyDescent="0.3">
      <c r="A16" s="10"/>
      <c r="B16" s="388"/>
      <c r="C16" s="220" t="s">
        <v>169</v>
      </c>
      <c r="D16" s="27"/>
      <c r="E16" s="221">
        <f>'Forecast Model'!H301</f>
        <v>178578.55379479629</v>
      </c>
      <c r="F16" s="222">
        <f>'Forecast Model'!I301</f>
        <v>163839.58251429163</v>
      </c>
      <c r="G16" s="222">
        <f>'Forecast Model'!J301</f>
        <v>189931.21060877628</v>
      </c>
      <c r="H16" s="222">
        <f>'Forecast Model'!K301</f>
        <v>223641.76001467428</v>
      </c>
      <c r="I16" s="222">
        <f>'Forecast Model'!L301</f>
        <v>264213.03342238709</v>
      </c>
      <c r="J16" s="222">
        <f>'Forecast Model'!M301</f>
        <v>317061.07934972201</v>
      </c>
      <c r="K16" s="222">
        <f>'Forecast Model'!N301</f>
        <v>370368.59793910594</v>
      </c>
      <c r="L16" s="222">
        <f>'Forecast Model'!O301</f>
        <v>440597.53536700725</v>
      </c>
      <c r="M16" s="222">
        <f>'Forecast Model'!P301</f>
        <v>510650.55217872234</v>
      </c>
      <c r="N16" s="223">
        <f>'Forecast Model'!Q301</f>
        <v>591162.37508667039</v>
      </c>
    </row>
    <row r="17" spans="1:22" x14ac:dyDescent="0.3">
      <c r="A17" s="10"/>
      <c r="B17" s="388"/>
      <c r="C17" s="220" t="s">
        <v>170</v>
      </c>
      <c r="D17" s="27"/>
      <c r="E17" s="221">
        <f>'Valuation &amp; Breakeven'!K17</f>
        <v>30441.12725736665</v>
      </c>
      <c r="F17" s="222">
        <f>'Valuation &amp; Breakeven'!L17</f>
        <v>-1256.5348184433315</v>
      </c>
      <c r="G17" s="222">
        <f>'Valuation &amp; Breakeven'!M17</f>
        <v>41336.785071343016</v>
      </c>
      <c r="H17" s="222">
        <f>'Valuation &amp; Breakeven'!N17</f>
        <v>50474.858573833175</v>
      </c>
      <c r="I17" s="222">
        <f>'Valuation &amp; Breakeven'!O17</f>
        <v>57769.202920135023</v>
      </c>
      <c r="J17" s="222">
        <f>'Valuation &amp; Breakeven'!P17</f>
        <v>71377.250320847408</v>
      </c>
      <c r="K17" s="222">
        <f>'Valuation &amp; Breakeven'!Q17</f>
        <v>72348.04689208472</v>
      </c>
      <c r="L17" s="222">
        <f>'Valuation &amp; Breakeven'!R17</f>
        <v>90808.491870379527</v>
      </c>
      <c r="M17" s="222">
        <f>'Valuation &amp; Breakeven'!S17</f>
        <v>91027.082533594337</v>
      </c>
      <c r="N17" s="223">
        <f>'Valuation &amp; Breakeven'!T17</f>
        <v>102220.3371268794</v>
      </c>
    </row>
    <row r="18" spans="1:22" x14ac:dyDescent="0.3">
      <c r="A18" s="10"/>
      <c r="B18" s="386"/>
      <c r="C18" s="216" t="s">
        <v>171</v>
      </c>
      <c r="D18" s="12"/>
      <c r="E18" s="25">
        <f>IFERROR('Valuation &amp; Breakeven'!$K$40/E9,0)</f>
        <v>0.72698648985487402</v>
      </c>
      <c r="F18" s="25">
        <f>IFERROR('Valuation &amp; Breakeven'!$K$40/F9,0)</f>
        <v>0.68132478414618125</v>
      </c>
      <c r="G18" s="25">
        <f>IFERROR('Valuation &amp; Breakeven'!$K$40/G9,0)</f>
        <v>0.64528619541826637</v>
      </c>
      <c r="H18" s="25">
        <f>IFERROR('Valuation &amp; Breakeven'!$K$40/H9,0)</f>
        <v>0.61768849131481196</v>
      </c>
      <c r="I18" s="25">
        <f>IFERROR('Valuation &amp; Breakeven'!$K$40/I9,0)</f>
        <v>0.59766087538080137</v>
      </c>
      <c r="J18" s="25">
        <f>IFERROR('Valuation &amp; Breakeven'!$K$40/J9,0)</f>
        <v>0.57828262462946789</v>
      </c>
      <c r="K18" s="25">
        <f>IFERROR('Valuation &amp; Breakeven'!$K$40/K9,0)</f>
        <v>0.56564609095747787</v>
      </c>
      <c r="L18" s="25">
        <f>IFERROR('Valuation &amp; Breakeven'!$K$40/L9,0)</f>
        <v>0.55328568867253336</v>
      </c>
      <c r="M18" s="25">
        <f>IFERROR('Valuation &amp; Breakeven'!$K$40/M9,0)</f>
        <v>0.54119538379847554</v>
      </c>
      <c r="N18" s="26">
        <f>IFERROR('Valuation &amp; Breakeven'!$K$40/N9,0)</f>
        <v>0.52936927421256674</v>
      </c>
    </row>
    <row r="19" spans="1:22" x14ac:dyDescent="0.3">
      <c r="A19" s="10"/>
      <c r="B19" s="388"/>
      <c r="C19" s="220" t="s">
        <v>172</v>
      </c>
      <c r="D19" s="27"/>
      <c r="E19" s="30">
        <f>IFERROR('Valuation &amp; Breakeven'!$K$40/E12,0)</f>
        <v>4.4857167949276082</v>
      </c>
      <c r="F19" s="30">
        <f>IFERROR('Valuation &amp; Breakeven'!$K$40/F12,0)</f>
        <v>6.0830223235953005</v>
      </c>
      <c r="G19" s="30">
        <f>IFERROR('Valuation &amp; Breakeven'!$K$40/G12,0)</f>
        <v>4.3211409288458134</v>
      </c>
      <c r="H19" s="30">
        <f>IFERROR('Valuation &amp; Breakeven'!$K$40/H12,0)</f>
        <v>3.4504693947477723</v>
      </c>
      <c r="I19" s="30">
        <f>IFERROR('Valuation &amp; Breakeven'!$K$40/I12,0)</f>
        <v>3.1496942035330879</v>
      </c>
      <c r="J19" s="30">
        <f>IFERROR('Valuation &amp; Breakeven'!$K$40/J12,0)</f>
        <v>2.6670610668935444</v>
      </c>
      <c r="K19" s="30">
        <f>IFERROR('Valuation &amp; Breakeven'!$K$40/K12,0)</f>
        <v>2.4968963671472455</v>
      </c>
      <c r="L19" s="30">
        <f>IFERROR('Valuation &amp; Breakeven'!$K$40/L12,0)</f>
        <v>2.2009771628889641</v>
      </c>
      <c r="M19" s="30">
        <f>IFERROR('Valuation &amp; Breakeven'!$K$40/M12,0)</f>
        <v>2.120472042500154</v>
      </c>
      <c r="N19" s="31">
        <f>IFERROR('Valuation &amp; Breakeven'!$K$40/N12,0)</f>
        <v>2.0044903335448234</v>
      </c>
    </row>
    <row r="20" spans="1:22" x14ac:dyDescent="0.3">
      <c r="A20" s="10"/>
      <c r="B20" s="386"/>
      <c r="C20" s="12"/>
      <c r="D20" s="12"/>
      <c r="E20" s="17"/>
      <c r="F20" s="18"/>
      <c r="G20" s="18"/>
      <c r="H20" s="18"/>
      <c r="I20" s="18"/>
      <c r="J20" s="18"/>
      <c r="K20" s="18"/>
      <c r="L20" s="18"/>
      <c r="M20" s="18"/>
      <c r="N20" s="19"/>
    </row>
    <row r="21" spans="1:22" x14ac:dyDescent="0.3">
      <c r="A21" s="10"/>
      <c r="B21" s="386"/>
      <c r="C21" s="216" t="s">
        <v>173</v>
      </c>
      <c r="D21" s="12"/>
      <c r="E21" s="23">
        <f>IFERROR('Formula Audit'!C213,"")</f>
        <v>0.30592763530561862</v>
      </c>
      <c r="F21" s="23">
        <f>IFERROR('Formula Audit'!D213,"")</f>
        <v>0.1757045300933002</v>
      </c>
      <c r="G21" s="23">
        <f>IFERROR('Formula Audit'!E213,"")</f>
        <v>0.22050135065806914</v>
      </c>
      <c r="H21" s="23">
        <f>IFERROR('Formula Audit'!F213,"")</f>
        <v>0.23215023611848973</v>
      </c>
      <c r="I21" s="23">
        <f>IFERROR('Formula Audit'!G213,"")</f>
        <v>0.20969613046651525</v>
      </c>
      <c r="J21" s="23">
        <f>IFERROR('Formula Audit'!H213,"")</f>
        <v>0.20648262281474497</v>
      </c>
      <c r="K21" s="23">
        <f>IFERROR('Formula Audit'!I213,"")</f>
        <v>0.18791432360345559</v>
      </c>
      <c r="L21" s="23">
        <f>IFERROR('Formula Audit'!J213,"")</f>
        <v>0.18507613157704153</v>
      </c>
      <c r="M21" s="23">
        <f>IFERROR('Formula Audit'!K213,"")</f>
        <v>0.16768551095670137</v>
      </c>
      <c r="N21" s="24">
        <f>IFERROR('Formula Audit'!L213,"")</f>
        <v>0.15672221009069623</v>
      </c>
    </row>
    <row r="22" spans="1:22" x14ac:dyDescent="0.3">
      <c r="A22" s="10"/>
      <c r="B22" s="386"/>
      <c r="C22" s="216" t="s">
        <v>174</v>
      </c>
      <c r="D22" s="12"/>
      <c r="E22" s="23">
        <f>IFERROR('Formula Audit'!C215,"")</f>
        <v>0.21767949324155381</v>
      </c>
      <c r="F22" s="23">
        <f>IFERROR('Formula Audit'!D215,"")</f>
        <v>0.13956250687109248</v>
      </c>
      <c r="G22" s="23">
        <f>IFERROR('Formula Audit'!E215,"")</f>
        <v>0.18142553101112882</v>
      </c>
      <c r="H22" s="23">
        <f>IFERROR('Formula Audit'!F215,"")</f>
        <v>0.2000509928073686</v>
      </c>
      <c r="I22" s="23">
        <f>IFERROR('Formula Audit'!G215,"")</f>
        <v>0.18825168391868566</v>
      </c>
      <c r="J22" s="23">
        <f>IFERROR('Formula Audit'!H215,"")</f>
        <v>0.19084711348434899</v>
      </c>
      <c r="K22" s="23">
        <f>IFERROR('Formula Audit'!I215,"")</f>
        <v>0.17783704378169002</v>
      </c>
      <c r="L22" s="23">
        <f>IFERROR('Formula Audit'!J215,"")</f>
        <v>0.17810305807441401</v>
      </c>
      <c r="M22" s="23">
        <f>IFERROR('Formula Audit'!K215,"")</f>
        <v>0.16358811243658733</v>
      </c>
      <c r="N22" s="24">
        <f>IFERROR('Formula Audit'!L215,"")</f>
        <v>0.15441628396899096</v>
      </c>
    </row>
    <row r="26" spans="1:22" x14ac:dyDescent="0.3">
      <c r="A26" s="211" t="s">
        <v>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1:22" ht="18" x14ac:dyDescent="0.3">
      <c r="A27" s="199" t="s">
        <v>38</v>
      </c>
      <c r="B27" s="449" t="str">
        <f>'Control Center'!F6</f>
        <v/>
      </c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450"/>
      <c r="N27" s="450"/>
      <c r="O27" s="450"/>
      <c r="P27" s="41"/>
      <c r="Q27" s="41"/>
      <c r="R27" s="41"/>
      <c r="S27" s="41"/>
      <c r="T27" s="41"/>
      <c r="U27" s="41"/>
      <c r="V27" s="41"/>
    </row>
    <row r="28" spans="1:22" x14ac:dyDescent="0.3">
      <c r="A28" s="64"/>
      <c r="B28" s="396"/>
      <c r="C28" s="396"/>
      <c r="D28" s="396"/>
      <c r="E28" s="396"/>
      <c r="F28" s="396"/>
      <c r="G28" s="396"/>
      <c r="H28" s="396"/>
      <c r="I28" s="396"/>
      <c r="J28" s="396"/>
      <c r="K28" s="396"/>
      <c r="L28" s="396"/>
      <c r="M28" s="396"/>
      <c r="N28" s="396"/>
      <c r="O28" s="396"/>
      <c r="P28" s="396"/>
      <c r="Q28" s="396"/>
      <c r="R28" s="396"/>
      <c r="S28" s="396"/>
      <c r="T28" s="396"/>
      <c r="U28" s="396"/>
      <c r="V28" s="396"/>
    </row>
    <row r="29" spans="1:22" x14ac:dyDescent="0.3">
      <c r="A29" s="64"/>
      <c r="B29" s="55"/>
      <c r="C29" s="55" t="s">
        <v>25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11"/>
      <c r="Q29" s="11"/>
      <c r="R29" s="11"/>
      <c r="S29" s="11"/>
      <c r="T29" s="11"/>
      <c r="U29" s="11"/>
      <c r="V29" s="11"/>
    </row>
    <row r="30" spans="1:22" x14ac:dyDescent="0.3">
      <c r="A30" s="64"/>
      <c r="B30" s="396"/>
      <c r="C30" s="262" t="str">
        <f>'Formula Audit'!A3</f>
        <v>Figures in USD</v>
      </c>
      <c r="D30" s="21"/>
      <c r="E30" s="21"/>
      <c r="F30" s="21"/>
      <c r="G30" s="6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3">
      <c r="A31" s="67"/>
      <c r="B31" s="397"/>
      <c r="C31" s="397"/>
      <c r="D31" s="397"/>
      <c r="E31" s="213" t="s">
        <v>175</v>
      </c>
      <c r="F31" s="273">
        <v>2025</v>
      </c>
      <c r="G31" s="397"/>
      <c r="H31" s="397"/>
      <c r="I31" s="397"/>
      <c r="J31" s="397"/>
      <c r="K31" s="397"/>
      <c r="L31" s="397"/>
      <c r="M31" s="397"/>
      <c r="N31" s="397"/>
      <c r="O31" s="397"/>
      <c r="P31" s="397"/>
      <c r="Q31" s="397"/>
      <c r="R31" s="397"/>
      <c r="S31" s="397"/>
      <c r="T31" s="397"/>
      <c r="U31" s="397"/>
      <c r="V31" s="397"/>
    </row>
    <row r="32" spans="1:22" x14ac:dyDescent="0.3">
      <c r="A32" s="64"/>
      <c r="B32" s="396"/>
      <c r="C32" s="396"/>
      <c r="D32" s="396"/>
      <c r="E32" s="396"/>
      <c r="F32" s="396"/>
      <c r="G32" s="396"/>
      <c r="H32" s="396"/>
      <c r="I32" s="396"/>
      <c r="J32" s="396"/>
      <c r="K32" s="396"/>
      <c r="L32" s="396"/>
      <c r="M32" s="396"/>
      <c r="N32" s="396"/>
      <c r="O32" s="396"/>
      <c r="P32" s="396"/>
      <c r="Q32" s="396"/>
      <c r="R32" s="396"/>
      <c r="S32" s="396"/>
      <c r="T32" s="396"/>
      <c r="U32" s="396"/>
      <c r="V32" s="396"/>
    </row>
    <row r="33" spans="1:22" x14ac:dyDescent="0.3">
      <c r="A33" s="64"/>
      <c r="B33" s="56"/>
      <c r="C33" s="56"/>
      <c r="D33" s="57" t="s">
        <v>176</v>
      </c>
      <c r="E33" s="56"/>
      <c r="F33" s="463" t="s">
        <v>177</v>
      </c>
      <c r="G33" s="463"/>
      <c r="H33" s="463"/>
      <c r="I33" s="56"/>
      <c r="J33" s="56"/>
      <c r="K33" s="56"/>
      <c r="L33" s="75" t="s">
        <v>161</v>
      </c>
      <c r="M33" s="56"/>
      <c r="N33" s="463" t="s">
        <v>82</v>
      </c>
      <c r="O33" s="463"/>
      <c r="P33" s="396"/>
      <c r="Q33" s="396"/>
      <c r="R33" s="396"/>
      <c r="S33" s="396"/>
      <c r="T33" s="396"/>
      <c r="U33" s="396"/>
      <c r="V33" s="396"/>
    </row>
    <row r="34" spans="1:22" x14ac:dyDescent="0.3">
      <c r="A34" s="64"/>
      <c r="B34" s="58"/>
      <c r="C34" s="58"/>
      <c r="D34" s="355">
        <f>'Formula Audit'!C238</f>
        <v>402045.22406400001</v>
      </c>
      <c r="E34" s="58"/>
      <c r="F34" s="467">
        <f>'Formula Audit'!C242</f>
        <v>0</v>
      </c>
      <c r="G34" s="468"/>
      <c r="H34" s="468"/>
      <c r="I34" s="58"/>
      <c r="J34" s="58"/>
      <c r="K34" s="58"/>
      <c r="L34" s="356">
        <f>'Formula Audit'!C254</f>
        <v>178578.55379479629</v>
      </c>
      <c r="M34" s="58"/>
      <c r="N34" s="464">
        <f>'Formula Audit'!C258</f>
        <v>65363.000000000051</v>
      </c>
      <c r="O34" s="465"/>
      <c r="P34" s="396"/>
      <c r="Q34" s="396"/>
      <c r="R34" s="396"/>
      <c r="S34" s="396"/>
      <c r="T34" s="396"/>
      <c r="U34" s="396"/>
      <c r="V34" s="396"/>
    </row>
    <row r="35" spans="1:22" x14ac:dyDescent="0.3">
      <c r="A35" s="64"/>
      <c r="B35" s="396"/>
      <c r="C35" s="396"/>
      <c r="D35" s="357">
        <f>'Formula Audit'!C240</f>
        <v>0</v>
      </c>
      <c r="E35" s="68"/>
      <c r="F35" s="460">
        <f>'Formula Audit'!C244</f>
        <v>0</v>
      </c>
      <c r="G35" s="466"/>
      <c r="H35" s="466"/>
      <c r="I35" s="68"/>
      <c r="J35" s="274" t="s">
        <v>131</v>
      </c>
      <c r="K35" s="68"/>
      <c r="L35" s="357">
        <f>'Formula Audit'!C256</f>
        <v>0</v>
      </c>
      <c r="M35" s="68"/>
      <c r="N35" s="460">
        <f>'Formula Audit'!C260</f>
        <v>0</v>
      </c>
      <c r="O35" s="466"/>
      <c r="P35" s="396"/>
      <c r="Q35" s="396"/>
      <c r="R35" s="396"/>
      <c r="S35" s="396"/>
      <c r="T35" s="396"/>
      <c r="U35" s="396"/>
      <c r="V35" s="396"/>
    </row>
    <row r="36" spans="1:22" x14ac:dyDescent="0.3">
      <c r="A36" s="64"/>
      <c r="B36" s="396"/>
      <c r="C36" s="396"/>
      <c r="D36" s="275" t="s">
        <v>178</v>
      </c>
      <c r="E36" s="68"/>
      <c r="F36" s="469" t="s">
        <v>178</v>
      </c>
      <c r="G36" s="470"/>
      <c r="H36" s="470"/>
      <c r="I36" s="68"/>
      <c r="J36" s="460">
        <f>'Formula Audit'!C270</f>
        <v>9.5456540489772118E-2</v>
      </c>
      <c r="K36" s="68"/>
      <c r="L36" s="274" t="s">
        <v>178</v>
      </c>
      <c r="M36" s="69"/>
      <c r="N36" s="453" t="s">
        <v>178</v>
      </c>
      <c r="O36" s="454"/>
      <c r="P36" s="396"/>
      <c r="Q36" s="396"/>
      <c r="R36" s="396"/>
      <c r="S36" s="396"/>
      <c r="T36" s="396"/>
      <c r="U36" s="396"/>
      <c r="V36" s="396"/>
    </row>
    <row r="37" spans="1:22" x14ac:dyDescent="0.3">
      <c r="A37" s="64"/>
      <c r="B37" s="396"/>
      <c r="C37" s="396"/>
      <c r="D37" s="69"/>
      <c r="E37" s="68"/>
      <c r="F37" s="69"/>
      <c r="G37" s="69"/>
      <c r="H37" s="69"/>
      <c r="I37" s="68"/>
      <c r="J37" s="461"/>
      <c r="K37" s="68"/>
      <c r="L37" s="68"/>
      <c r="M37" s="68"/>
      <c r="N37" s="68"/>
      <c r="O37" s="68"/>
      <c r="P37" s="396"/>
      <c r="Q37" s="396"/>
      <c r="R37" s="396"/>
      <c r="S37" s="396"/>
      <c r="T37" s="396"/>
      <c r="U37" s="396"/>
      <c r="V37" s="396"/>
    </row>
    <row r="38" spans="1:22" x14ac:dyDescent="0.3">
      <c r="A38" s="64"/>
      <c r="B38" s="398"/>
      <c r="C38" s="398"/>
      <c r="D38" s="276" t="s">
        <v>179</v>
      </c>
      <c r="E38" s="72"/>
      <c r="F38" s="458" t="s">
        <v>167</v>
      </c>
      <c r="G38" s="459"/>
      <c r="H38" s="459"/>
      <c r="I38" s="72"/>
      <c r="J38" s="73">
        <f>'Formula Audit'!C272</f>
        <v>0</v>
      </c>
      <c r="K38" s="72"/>
      <c r="L38" s="276" t="s">
        <v>180</v>
      </c>
      <c r="M38" s="48"/>
      <c r="N38" s="458" t="s">
        <v>181</v>
      </c>
      <c r="O38" s="459"/>
      <c r="P38" s="396"/>
      <c r="Q38" s="396"/>
      <c r="R38" s="396"/>
      <c r="S38" s="396"/>
      <c r="T38" s="396"/>
      <c r="U38" s="396"/>
      <c r="V38" s="396"/>
    </row>
    <row r="39" spans="1:22" x14ac:dyDescent="0.3">
      <c r="A39" s="64"/>
      <c r="B39" s="396"/>
      <c r="C39" s="396"/>
      <c r="D39" s="358">
        <f>'Formula Audit'!C246</f>
        <v>38377.846209584721</v>
      </c>
      <c r="E39" s="68"/>
      <c r="F39" s="455">
        <f>'Formula Audit'!C250</f>
        <v>0</v>
      </c>
      <c r="G39" s="454"/>
      <c r="H39" s="454"/>
      <c r="I39" s="68"/>
      <c r="J39" s="277" t="s">
        <v>178</v>
      </c>
      <c r="K39" s="68"/>
      <c r="L39" s="359" t="str">
        <f>'Formula Audit'!C262</f>
        <v/>
      </c>
      <c r="M39" s="69"/>
      <c r="N39" s="456" t="str">
        <f>'Formula Audit'!C266</f>
        <v/>
      </c>
      <c r="O39" s="457"/>
      <c r="P39" s="396"/>
      <c r="Q39" s="396"/>
      <c r="R39" s="396"/>
      <c r="S39" s="396"/>
      <c r="T39" s="396"/>
      <c r="U39" s="396"/>
      <c r="V39" s="396"/>
    </row>
    <row r="40" spans="1:22" x14ac:dyDescent="0.3">
      <c r="A40" s="64"/>
      <c r="B40" s="55"/>
      <c r="C40" s="55"/>
      <c r="D40" s="76">
        <f>'Formula Audit'!C248</f>
        <v>0</v>
      </c>
      <c r="E40" s="55"/>
      <c r="F40" s="452">
        <f>'Formula Audit'!C252</f>
        <v>0</v>
      </c>
      <c r="G40" s="452"/>
      <c r="H40" s="452"/>
      <c r="I40" s="55"/>
      <c r="J40" s="55"/>
      <c r="K40" s="55"/>
      <c r="L40" s="76">
        <f>'Formula Audit'!C264</f>
        <v>0</v>
      </c>
      <c r="M40" s="55"/>
      <c r="N40" s="452">
        <f>'Formula Audit'!C268</f>
        <v>0</v>
      </c>
      <c r="O40" s="452"/>
      <c r="P40" s="396"/>
      <c r="Q40" s="396"/>
      <c r="R40" s="396"/>
      <c r="S40" s="396"/>
      <c r="T40" s="396"/>
      <c r="U40" s="396"/>
      <c r="V40" s="396"/>
    </row>
    <row r="41" spans="1:22" x14ac:dyDescent="0.3">
      <c r="A41" s="64"/>
      <c r="B41" s="396"/>
      <c r="C41" s="396"/>
      <c r="D41" s="274" t="s">
        <v>178</v>
      </c>
      <c r="E41" s="68"/>
      <c r="F41" s="453" t="s">
        <v>178</v>
      </c>
      <c r="G41" s="454"/>
      <c r="H41" s="454"/>
      <c r="I41" s="68"/>
      <c r="J41" s="68"/>
      <c r="K41" s="68"/>
      <c r="L41" s="274" t="s">
        <v>178</v>
      </c>
      <c r="M41" s="69"/>
      <c r="N41" s="453" t="s">
        <v>178</v>
      </c>
      <c r="O41" s="454"/>
      <c r="P41" s="396"/>
      <c r="Q41" s="396"/>
      <c r="R41" s="396"/>
      <c r="S41" s="396"/>
      <c r="T41" s="396"/>
      <c r="U41" s="396"/>
      <c r="V41" s="396"/>
    </row>
    <row r="42" spans="1:22" x14ac:dyDescent="0.3">
      <c r="A42" s="64"/>
      <c r="B42" s="396"/>
      <c r="C42" s="396"/>
      <c r="D42" s="396"/>
      <c r="E42" s="396"/>
      <c r="F42" s="396"/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</row>
    <row r="43" spans="1:22" x14ac:dyDescent="0.3">
      <c r="A43" s="64"/>
      <c r="B43" s="396"/>
      <c r="C43" s="396"/>
      <c r="D43" s="396"/>
      <c r="E43" s="396"/>
      <c r="F43" s="396"/>
      <c r="G43" s="396"/>
      <c r="H43" s="396"/>
      <c r="I43" s="396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</row>
    <row r="44" spans="1:22" x14ac:dyDescent="0.3">
      <c r="A44" s="64"/>
      <c r="B44" s="396"/>
      <c r="C44" s="396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396"/>
      <c r="Q44" s="396"/>
      <c r="R44" s="396"/>
      <c r="S44" s="396"/>
      <c r="T44" s="396"/>
      <c r="U44" s="396"/>
      <c r="V44" s="396"/>
    </row>
    <row r="45" spans="1:22" x14ac:dyDescent="0.3">
      <c r="A45" s="64"/>
      <c r="B45" s="396"/>
      <c r="C45" s="396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396"/>
      <c r="Q45" s="396"/>
      <c r="R45" s="396"/>
      <c r="S45" s="396"/>
      <c r="T45" s="396"/>
      <c r="U45" s="396"/>
      <c r="V45" s="396"/>
    </row>
    <row r="46" spans="1:22" x14ac:dyDescent="0.3">
      <c r="A46" s="64"/>
      <c r="B46" s="396"/>
      <c r="C46" s="396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396"/>
      <c r="Q46" s="396"/>
      <c r="R46" s="396"/>
      <c r="S46" s="396"/>
      <c r="T46" s="396"/>
      <c r="U46" s="396"/>
      <c r="V46" s="396"/>
    </row>
    <row r="47" spans="1:22" x14ac:dyDescent="0.3">
      <c r="A47" s="64"/>
      <c r="B47" s="396"/>
      <c r="C47" s="396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396"/>
      <c r="Q47" s="396"/>
      <c r="R47" s="396"/>
      <c r="S47" s="396"/>
      <c r="T47" s="396"/>
      <c r="U47" s="396"/>
      <c r="V47" s="396"/>
    </row>
    <row r="48" spans="1:22" x14ac:dyDescent="0.3">
      <c r="A48" s="64"/>
      <c r="B48" s="396"/>
      <c r="C48" s="396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396"/>
      <c r="Q48" s="396"/>
      <c r="R48" s="396"/>
      <c r="S48" s="396"/>
      <c r="T48" s="396"/>
      <c r="U48" s="396"/>
      <c r="V48" s="396"/>
    </row>
    <row r="49" spans="1:22" x14ac:dyDescent="0.3">
      <c r="A49" s="64"/>
      <c r="B49" s="396"/>
      <c r="C49" s="396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396"/>
      <c r="Q49" s="396"/>
      <c r="R49" s="396"/>
      <c r="S49" s="396"/>
      <c r="T49" s="396"/>
      <c r="U49" s="396"/>
      <c r="V49" s="396"/>
    </row>
    <row r="50" spans="1:22" x14ac:dyDescent="0.3">
      <c r="A50" s="64"/>
      <c r="B50" s="396"/>
      <c r="C50" s="396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396"/>
      <c r="Q50" s="396"/>
      <c r="R50" s="396"/>
      <c r="S50" s="396"/>
      <c r="T50" s="396"/>
      <c r="U50" s="396"/>
      <c r="V50" s="396"/>
    </row>
    <row r="51" spans="1:22" x14ac:dyDescent="0.3">
      <c r="A51" s="64"/>
      <c r="B51" s="396"/>
      <c r="C51" s="396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396"/>
      <c r="Q51" s="396"/>
      <c r="R51" s="396"/>
      <c r="S51" s="396"/>
      <c r="T51" s="396"/>
      <c r="U51" s="396"/>
      <c r="V51" s="396"/>
    </row>
    <row r="52" spans="1:22" x14ac:dyDescent="0.3">
      <c r="A52" s="64"/>
      <c r="B52" s="396"/>
      <c r="C52" s="396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396"/>
      <c r="Q52" s="396"/>
      <c r="R52" s="396"/>
      <c r="S52" s="396"/>
      <c r="T52" s="396"/>
      <c r="U52" s="396"/>
      <c r="V52" s="396"/>
    </row>
    <row r="53" spans="1:22" x14ac:dyDescent="0.3">
      <c r="A53" s="64"/>
      <c r="B53" s="396"/>
      <c r="C53" s="396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396"/>
      <c r="Q53" s="396"/>
      <c r="R53" s="396"/>
      <c r="S53" s="396"/>
      <c r="T53" s="396"/>
      <c r="U53" s="396"/>
      <c r="V53" s="396"/>
    </row>
    <row r="54" spans="1:22" x14ac:dyDescent="0.3">
      <c r="A54" s="64"/>
      <c r="B54" s="396"/>
      <c r="C54" s="396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396"/>
      <c r="Q54" s="396"/>
      <c r="R54" s="396"/>
      <c r="S54" s="396"/>
      <c r="T54" s="396"/>
      <c r="U54" s="396"/>
      <c r="V54" s="396"/>
    </row>
    <row r="55" spans="1:22" x14ac:dyDescent="0.3">
      <c r="A55" s="64"/>
      <c r="B55" s="396"/>
      <c r="C55" s="396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396"/>
      <c r="Q55" s="396"/>
      <c r="R55" s="396"/>
      <c r="S55" s="396"/>
      <c r="T55" s="396"/>
      <c r="U55" s="396"/>
      <c r="V55" s="396"/>
    </row>
    <row r="56" spans="1:22" x14ac:dyDescent="0.3">
      <c r="A56" s="64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</row>
    <row r="57" spans="1:22" x14ac:dyDescent="0.3">
      <c r="A57" s="64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</row>
    <row r="58" spans="1:22" x14ac:dyDescent="0.3">
      <c r="A58" s="64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</row>
    <row r="59" spans="1:22" x14ac:dyDescent="0.3">
      <c r="A59" s="64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</row>
    <row r="60" spans="1:22" x14ac:dyDescent="0.3">
      <c r="A60" s="64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</row>
    <row r="61" spans="1:22" x14ac:dyDescent="0.3">
      <c r="A61" s="64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</row>
    <row r="62" spans="1:22" x14ac:dyDescent="0.3">
      <c r="A62" s="64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</row>
    <row r="63" spans="1:22" x14ac:dyDescent="0.3">
      <c r="A63" s="64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</row>
    <row r="64" spans="1:22" x14ac:dyDescent="0.3">
      <c r="A64" s="64"/>
      <c r="B64" s="396"/>
      <c r="C64" s="396"/>
      <c r="D64" s="396"/>
      <c r="E64" s="396"/>
      <c r="F64" s="396"/>
      <c r="G64" s="396"/>
      <c r="H64" s="396"/>
      <c r="I64" s="396"/>
      <c r="J64" s="396"/>
      <c r="K64" s="396"/>
      <c r="L64" s="396"/>
      <c r="M64" s="396"/>
      <c r="N64" s="396"/>
      <c r="O64" s="396"/>
      <c r="P64" s="396"/>
      <c r="Q64" s="396"/>
      <c r="R64" s="396"/>
      <c r="S64" s="396"/>
      <c r="T64" s="396"/>
      <c r="U64" s="396"/>
      <c r="V64" s="396"/>
    </row>
    <row r="65" spans="1:22" x14ac:dyDescent="0.3">
      <c r="A65" s="64"/>
      <c r="B65" s="396"/>
      <c r="C65" s="396"/>
      <c r="D65" s="396"/>
      <c r="E65" s="39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6"/>
      <c r="R65" s="396"/>
      <c r="S65" s="396"/>
      <c r="T65" s="396"/>
      <c r="U65" s="396"/>
      <c r="V65" s="396"/>
    </row>
    <row r="66" spans="1:22" x14ac:dyDescent="0.3">
      <c r="A66" s="64"/>
      <c r="B66" s="396"/>
      <c r="C66" s="396"/>
      <c r="D66" s="396"/>
      <c r="E66" s="396"/>
      <c r="F66" s="396"/>
      <c r="G66" s="396"/>
      <c r="H66" s="396"/>
      <c r="I66" s="396"/>
      <c r="J66" s="396"/>
      <c r="K66" s="396"/>
      <c r="L66" s="396"/>
      <c r="M66" s="396"/>
      <c r="N66" s="396"/>
      <c r="O66" s="396"/>
      <c r="P66" s="396"/>
      <c r="Q66" s="396"/>
      <c r="R66" s="396"/>
      <c r="S66" s="396"/>
      <c r="T66" s="396"/>
      <c r="U66" s="396"/>
      <c r="V66" s="396"/>
    </row>
    <row r="67" spans="1:22" x14ac:dyDescent="0.3">
      <c r="A67" s="64"/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6"/>
      <c r="Q67" s="396"/>
      <c r="R67" s="396"/>
      <c r="S67" s="396"/>
      <c r="T67" s="396"/>
      <c r="U67" s="396"/>
      <c r="V67" s="396"/>
    </row>
    <row r="68" spans="1:22" x14ac:dyDescent="0.3">
      <c r="A68" s="64"/>
      <c r="B68" s="396"/>
      <c r="C68" s="396"/>
      <c r="D68" s="396"/>
      <c r="E68" s="396"/>
      <c r="F68" s="396"/>
      <c r="G68" s="396"/>
      <c r="H68" s="396"/>
      <c r="I68" s="396"/>
      <c r="J68" s="396"/>
      <c r="K68" s="396"/>
      <c r="L68" s="396"/>
      <c r="M68" s="396"/>
      <c r="N68" s="396"/>
      <c r="O68" s="396"/>
      <c r="P68" s="396"/>
      <c r="Q68" s="396"/>
      <c r="R68" s="396"/>
      <c r="S68" s="396"/>
      <c r="T68" s="396"/>
      <c r="U68" s="396"/>
      <c r="V68" s="396"/>
    </row>
    <row r="69" spans="1:22" x14ac:dyDescent="0.3">
      <c r="A69" s="64"/>
      <c r="B69" s="396"/>
      <c r="C69" s="396"/>
      <c r="D69" s="396"/>
      <c r="E69" s="396"/>
      <c r="F69" s="396"/>
      <c r="G69" s="396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</row>
    <row r="70" spans="1:22" x14ac:dyDescent="0.3">
      <c r="A70" s="64"/>
      <c r="B70" s="396"/>
      <c r="C70" s="396"/>
      <c r="D70" s="396"/>
      <c r="E70" s="396"/>
      <c r="F70" s="396"/>
      <c r="G70" s="396"/>
      <c r="H70" s="396"/>
      <c r="I70" s="396"/>
      <c r="J70" s="396"/>
      <c r="K70" s="396"/>
      <c r="L70" s="396"/>
      <c r="M70" s="396"/>
      <c r="N70" s="396"/>
      <c r="O70" s="396"/>
      <c r="P70" s="396"/>
      <c r="Q70" s="396"/>
      <c r="R70" s="396"/>
      <c r="S70" s="396"/>
      <c r="T70" s="396"/>
      <c r="U70" s="396"/>
      <c r="V70" s="396"/>
    </row>
    <row r="71" spans="1:22" x14ac:dyDescent="0.3">
      <c r="A71" s="6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77"/>
      <c r="M71" s="55" t="s">
        <v>54</v>
      </c>
      <c r="N71" s="55"/>
      <c r="O71" s="78">
        <f>'Formula Audit'!C305</f>
        <v>2025</v>
      </c>
      <c r="P71" s="396"/>
      <c r="Q71" s="71"/>
      <c r="R71" s="71"/>
      <c r="S71" s="396"/>
      <c r="T71" s="396"/>
      <c r="U71" s="396"/>
      <c r="V71" s="396"/>
    </row>
    <row r="72" spans="1:22" x14ac:dyDescent="0.3">
      <c r="A72" s="64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74"/>
      <c r="M72" s="220" t="s">
        <v>98</v>
      </c>
      <c r="N72" s="48"/>
      <c r="O72" s="278">
        <f>'Formula Audit'!C306</f>
        <v>402045.22406400001</v>
      </c>
      <c r="P72" s="396"/>
      <c r="Q72" s="11"/>
      <c r="R72" s="11"/>
      <c r="S72" s="396"/>
      <c r="T72" s="396"/>
      <c r="U72" s="396"/>
      <c r="V72" s="396"/>
    </row>
    <row r="73" spans="1:22" x14ac:dyDescent="0.3">
      <c r="A73" s="64"/>
      <c r="B73" s="398"/>
      <c r="C73" s="398"/>
      <c r="D73" s="398"/>
      <c r="E73" s="398"/>
      <c r="F73" s="398"/>
      <c r="G73" s="398"/>
      <c r="H73" s="398"/>
      <c r="I73" s="398"/>
      <c r="J73" s="398"/>
      <c r="K73" s="398"/>
      <c r="L73" s="74"/>
      <c r="M73" s="220" t="s">
        <v>121</v>
      </c>
      <c r="N73" s="48"/>
      <c r="O73" s="278">
        <f>'Formula Audit'!C307</f>
        <v>222836.09936974532</v>
      </c>
      <c r="P73" s="396"/>
      <c r="Q73" s="396"/>
      <c r="R73" s="396"/>
      <c r="S73" s="396"/>
      <c r="T73" s="396"/>
      <c r="U73" s="396"/>
      <c r="V73" s="396"/>
    </row>
    <row r="74" spans="1:22" x14ac:dyDescent="0.3">
      <c r="A74" s="64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79"/>
      <c r="M74" s="58" t="s">
        <v>122</v>
      </c>
      <c r="N74" s="58"/>
      <c r="O74" s="356">
        <f>'Formula Audit'!C308</f>
        <v>179209.12469425469</v>
      </c>
      <c r="P74" s="396"/>
      <c r="Q74" s="396"/>
      <c r="R74" s="396"/>
      <c r="S74" s="396"/>
      <c r="T74" s="396"/>
      <c r="U74" s="396"/>
      <c r="V74" s="396"/>
    </row>
    <row r="75" spans="1:22" x14ac:dyDescent="0.3">
      <c r="A75" s="64"/>
      <c r="B75" s="398"/>
      <c r="C75" s="398"/>
      <c r="D75" s="398"/>
      <c r="E75" s="398"/>
      <c r="F75" s="398"/>
      <c r="G75" s="398"/>
      <c r="H75" s="398"/>
      <c r="I75" s="398"/>
      <c r="J75" s="398"/>
      <c r="K75" s="398"/>
      <c r="L75" s="74"/>
      <c r="M75" s="220" t="s">
        <v>124</v>
      </c>
      <c r="N75" s="48"/>
      <c r="O75" s="279">
        <f>'Formula Audit'!C309</f>
        <v>122710.96612052148</v>
      </c>
      <c r="P75" s="396"/>
      <c r="Q75" s="396"/>
      <c r="R75" s="396"/>
      <c r="S75" s="396"/>
      <c r="T75" s="396"/>
      <c r="U75" s="396"/>
      <c r="V75" s="396"/>
    </row>
    <row r="76" spans="1:22" x14ac:dyDescent="0.3">
      <c r="A76" s="64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77"/>
      <c r="M76" s="55" t="s">
        <v>125</v>
      </c>
      <c r="N76" s="55"/>
      <c r="O76" s="348">
        <f>'Formula Audit'!C310</f>
        <v>56498.158573733206</v>
      </c>
      <c r="P76" s="396"/>
      <c r="Q76" s="396"/>
      <c r="R76" s="396"/>
      <c r="S76" s="396"/>
      <c r="T76" s="396"/>
      <c r="U76" s="396"/>
      <c r="V76" s="396"/>
    </row>
    <row r="77" spans="1:22" x14ac:dyDescent="0.3">
      <c r="A77" s="64"/>
      <c r="B77" s="396"/>
      <c r="C77" s="396"/>
      <c r="D77" s="396"/>
      <c r="E77" s="396"/>
      <c r="F77" s="396"/>
      <c r="G77" s="396"/>
      <c r="H77" s="396"/>
      <c r="I77" s="396"/>
      <c r="J77" s="396"/>
      <c r="K77" s="396"/>
      <c r="L77" s="70"/>
      <c r="M77" s="280" t="s">
        <v>127</v>
      </c>
      <c r="N77" s="69"/>
      <c r="O77" s="360">
        <f>'Formula Audit'!C311</f>
        <v>4295.191883781923</v>
      </c>
      <c r="P77" s="396"/>
      <c r="Q77" s="396"/>
      <c r="R77" s="396"/>
      <c r="S77" s="396"/>
      <c r="T77" s="396"/>
      <c r="U77" s="396"/>
      <c r="V77" s="396"/>
    </row>
    <row r="78" spans="1:22" x14ac:dyDescent="0.3">
      <c r="A78" s="64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77"/>
      <c r="M78" s="55" t="s">
        <v>128</v>
      </c>
      <c r="N78" s="55"/>
      <c r="O78" s="348">
        <f>'Formula Audit'!C312</f>
        <v>52202.966689951281</v>
      </c>
      <c r="P78" s="396"/>
      <c r="Q78" s="396"/>
      <c r="R78" s="396"/>
      <c r="S78" s="396"/>
      <c r="T78" s="396"/>
      <c r="U78" s="396"/>
      <c r="V78" s="396"/>
    </row>
    <row r="79" spans="1:22" x14ac:dyDescent="0.3">
      <c r="A79" s="64"/>
      <c r="B79" s="396"/>
      <c r="C79" s="396"/>
      <c r="D79" s="396"/>
      <c r="E79" s="396"/>
      <c r="F79" s="396"/>
      <c r="G79" s="396"/>
      <c r="H79" s="396"/>
      <c r="I79" s="396"/>
      <c r="J79" s="396"/>
      <c r="K79" s="396"/>
      <c r="L79" s="70"/>
      <c r="M79" s="280" t="s">
        <v>129</v>
      </c>
      <c r="N79" s="69"/>
      <c r="O79" s="358">
        <f>'Formula Audit'!C313</f>
        <v>13825.120480366559</v>
      </c>
      <c r="P79" s="396"/>
      <c r="Q79" s="396"/>
      <c r="R79" s="396"/>
      <c r="S79" s="396"/>
      <c r="T79" s="396"/>
      <c r="U79" s="396"/>
      <c r="V79" s="396"/>
    </row>
    <row r="80" spans="1:22" x14ac:dyDescent="0.3">
      <c r="A80" s="64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79"/>
      <c r="M80" s="80" t="s">
        <v>130</v>
      </c>
      <c r="N80" s="58"/>
      <c r="O80" s="356">
        <f>'Formula Audit'!C314</f>
        <v>38377.846209584721</v>
      </c>
      <c r="P80" s="396"/>
      <c r="Q80" s="396"/>
      <c r="R80" s="396"/>
      <c r="S80" s="396"/>
      <c r="T80" s="396"/>
      <c r="U80" s="396"/>
      <c r="V80" s="396"/>
    </row>
    <row r="81" spans="1:22" x14ac:dyDescent="0.3">
      <c r="A81" s="64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 t="s">
        <v>147</v>
      </c>
      <c r="N81" s="33"/>
      <c r="O81" s="81"/>
      <c r="P81" s="396"/>
      <c r="Q81" s="396"/>
      <c r="R81" s="396"/>
      <c r="S81" s="396"/>
      <c r="T81" s="396"/>
      <c r="U81" s="396"/>
      <c r="V81" s="396"/>
    </row>
    <row r="82" spans="1:22" x14ac:dyDescent="0.3">
      <c r="A82" s="64"/>
      <c r="B82" s="396"/>
      <c r="C82" s="396"/>
      <c r="D82" s="396"/>
      <c r="E82" s="396"/>
      <c r="F82" s="396"/>
      <c r="G82" s="396"/>
      <c r="H82" s="396"/>
      <c r="I82" s="396"/>
      <c r="J82" s="396"/>
      <c r="K82" s="396"/>
      <c r="L82" s="396"/>
      <c r="M82" s="280" t="s">
        <v>151</v>
      </c>
      <c r="N82" s="69"/>
      <c r="O82" s="358">
        <f>'Formula Audit'!C316</f>
        <v>47037.935373584725</v>
      </c>
      <c r="P82" s="396"/>
      <c r="Q82" s="396"/>
      <c r="R82" s="396"/>
      <c r="S82" s="396"/>
      <c r="T82" s="396"/>
      <c r="U82" s="396"/>
      <c r="V82" s="396"/>
    </row>
    <row r="83" spans="1:22" x14ac:dyDescent="0.3">
      <c r="A83" s="64"/>
      <c r="B83" s="396"/>
      <c r="C83" s="396"/>
      <c r="D83" s="396"/>
      <c r="E83" s="396"/>
      <c r="F83" s="396"/>
      <c r="G83" s="396"/>
      <c r="H83" s="396"/>
      <c r="I83" s="396"/>
      <c r="J83" s="396"/>
      <c r="K83" s="396"/>
      <c r="L83" s="396"/>
      <c r="M83" s="280" t="s">
        <v>154</v>
      </c>
      <c r="N83" s="69"/>
      <c r="O83" s="358">
        <f>'Formula Audit'!C317</f>
        <v>-20892</v>
      </c>
      <c r="P83" s="396"/>
      <c r="Q83" s="396"/>
      <c r="R83" s="396"/>
      <c r="S83" s="396"/>
      <c r="T83" s="396"/>
      <c r="U83" s="396"/>
      <c r="V83" s="396"/>
    </row>
    <row r="84" spans="1:22" x14ac:dyDescent="0.3">
      <c r="A84" s="64"/>
      <c r="B84" s="396"/>
      <c r="C84" s="396"/>
      <c r="D84" s="396"/>
      <c r="E84" s="396"/>
      <c r="F84" s="396"/>
      <c r="G84" s="396"/>
      <c r="H84" s="396"/>
      <c r="I84" s="396"/>
      <c r="J84" s="396"/>
      <c r="K84" s="396"/>
      <c r="L84" s="396"/>
      <c r="M84" s="280" t="s">
        <v>158</v>
      </c>
      <c r="N84" s="69"/>
      <c r="O84" s="358">
        <f>'Formula Audit'!C318</f>
        <v>152432.61842121158</v>
      </c>
      <c r="P84" s="396"/>
      <c r="Q84" s="396"/>
      <c r="R84" s="396"/>
      <c r="S84" s="396"/>
      <c r="T84" s="396"/>
      <c r="U84" s="396"/>
      <c r="V84" s="396"/>
    </row>
    <row r="85" spans="1:22" x14ac:dyDescent="0.3">
      <c r="A85" s="64"/>
      <c r="B85" s="396"/>
      <c r="C85" s="396"/>
      <c r="D85" s="396"/>
      <c r="E85" s="396"/>
      <c r="F85" s="396"/>
      <c r="G85" s="396"/>
      <c r="H85" s="396"/>
      <c r="I85" s="396"/>
      <c r="J85" s="396"/>
      <c r="K85" s="396"/>
      <c r="L85" s="396"/>
      <c r="M85" s="280" t="s">
        <v>160</v>
      </c>
      <c r="N85" s="69"/>
      <c r="O85" s="360">
        <f>'Formula Audit'!C319</f>
        <v>0</v>
      </c>
      <c r="P85" s="396"/>
      <c r="Q85" s="396"/>
      <c r="R85" s="396"/>
      <c r="S85" s="396"/>
      <c r="T85" s="396"/>
      <c r="U85" s="396"/>
      <c r="V85" s="396"/>
    </row>
    <row r="86" spans="1:22" x14ac:dyDescent="0.3">
      <c r="A86" s="64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 t="s">
        <v>161</v>
      </c>
      <c r="N86" s="55"/>
      <c r="O86" s="348">
        <f>'Formula Audit'!C320</f>
        <v>178578.55379479629</v>
      </c>
      <c r="P86" s="396"/>
      <c r="Q86" s="396"/>
      <c r="R86" s="396"/>
      <c r="S86" s="396"/>
      <c r="T86" s="396"/>
      <c r="U86" s="396"/>
      <c r="V86" s="396"/>
    </row>
    <row r="90" spans="1:22" x14ac:dyDescent="0.3">
      <c r="A90" s="211" t="s">
        <v>0</v>
      </c>
      <c r="B90" s="20"/>
      <c r="C90" s="20"/>
      <c r="D90" s="20"/>
      <c r="E90" s="20"/>
      <c r="F90" s="20"/>
      <c r="G90" s="20"/>
      <c r="H90" s="20"/>
      <c r="I90" s="94"/>
      <c r="J90" s="20"/>
      <c r="K90" s="20"/>
      <c r="L90" s="20"/>
      <c r="M90" s="20"/>
      <c r="N90" s="20"/>
      <c r="O90" s="20"/>
      <c r="P90" s="20"/>
    </row>
    <row r="91" spans="1:22" ht="18" x14ac:dyDescent="0.3">
      <c r="A91" s="199" t="s">
        <v>38</v>
      </c>
      <c r="B91" s="446" t="str">
        <f>'Control Center'!F6</f>
        <v/>
      </c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1"/>
      <c r="P91" s="41"/>
    </row>
    <row r="92" spans="1:22" x14ac:dyDescent="0.3">
      <c r="A92" s="64"/>
      <c r="B92" s="396"/>
      <c r="C92" s="396"/>
      <c r="D92" s="396"/>
      <c r="E92" s="396"/>
      <c r="F92" s="396"/>
      <c r="G92" s="396"/>
      <c r="H92" s="396"/>
      <c r="I92" s="402"/>
      <c r="J92" s="396"/>
      <c r="K92" s="396"/>
      <c r="L92" s="396"/>
      <c r="M92" s="396"/>
      <c r="N92" s="396"/>
      <c r="O92" s="396"/>
      <c r="P92" s="396"/>
    </row>
    <row r="93" spans="1:22" x14ac:dyDescent="0.3">
      <c r="A93" s="64"/>
      <c r="B93" s="55"/>
      <c r="C93" s="55" t="s">
        <v>26</v>
      </c>
      <c r="D93" s="55"/>
      <c r="E93" s="55"/>
      <c r="F93" s="55"/>
      <c r="G93" s="55"/>
      <c r="H93" s="55"/>
      <c r="I93" s="177"/>
      <c r="J93" s="55"/>
      <c r="K93" s="55"/>
      <c r="L93" s="55"/>
      <c r="M93" s="55"/>
      <c r="N93" s="55"/>
      <c r="O93" s="396"/>
      <c r="P93" s="396"/>
    </row>
    <row r="94" spans="1:22" x14ac:dyDescent="0.3">
      <c r="A94" s="64"/>
      <c r="B94" s="396"/>
      <c r="C94" s="212" t="str">
        <f>'Formula Audit'!A3</f>
        <v>Figures in USD</v>
      </c>
      <c r="D94" s="12"/>
      <c r="E94" s="12"/>
      <c r="F94" s="11"/>
      <c r="G94" s="11"/>
      <c r="H94" s="11"/>
      <c r="I94" s="13"/>
      <c r="J94" s="11"/>
      <c r="K94" s="11"/>
      <c r="L94" s="11"/>
      <c r="M94" s="11"/>
      <c r="N94" s="11"/>
      <c r="O94" s="396"/>
      <c r="P94" s="396"/>
    </row>
    <row r="95" spans="1:22" x14ac:dyDescent="0.3">
      <c r="A95" s="64"/>
      <c r="B95" s="59"/>
      <c r="C95" s="59"/>
      <c r="D95" s="59"/>
      <c r="E95" s="59"/>
      <c r="F95" s="462" t="s">
        <v>182</v>
      </c>
      <c r="G95" s="462"/>
      <c r="H95" s="462"/>
      <c r="I95" s="462"/>
      <c r="J95" s="178"/>
      <c r="K95" s="178"/>
      <c r="L95" s="161" t="s">
        <v>183</v>
      </c>
      <c r="M95" s="107" t="s">
        <v>8</v>
      </c>
      <c r="N95" s="178"/>
      <c r="O95" s="396"/>
      <c r="P95" s="396"/>
    </row>
    <row r="96" spans="1:22" x14ac:dyDescent="0.3">
      <c r="A96" s="64"/>
      <c r="B96" s="396"/>
      <c r="C96" s="263" t="s">
        <v>54</v>
      </c>
      <c r="D96" s="34"/>
      <c r="E96" s="11"/>
      <c r="F96" s="281" t="s">
        <v>184</v>
      </c>
      <c r="G96" s="281" t="s">
        <v>185</v>
      </c>
      <c r="H96" s="281" t="s">
        <v>186</v>
      </c>
      <c r="I96" s="281" t="s">
        <v>187</v>
      </c>
      <c r="J96" s="396"/>
      <c r="K96" s="281" t="s">
        <v>184</v>
      </c>
      <c r="L96" s="281" t="s">
        <v>185</v>
      </c>
      <c r="M96" s="281" t="s">
        <v>186</v>
      </c>
      <c r="N96" s="281" t="s">
        <v>187</v>
      </c>
      <c r="O96" s="396"/>
      <c r="P96" s="396"/>
    </row>
    <row r="97" spans="1:16" x14ac:dyDescent="0.3">
      <c r="A97" s="64"/>
      <c r="B97" s="396"/>
      <c r="C97" s="12"/>
      <c r="D97" s="216" t="s">
        <v>119</v>
      </c>
      <c r="E97" s="12"/>
      <c r="F97" s="305">
        <f>'Formula Audit'!$O145</f>
        <v>63258</v>
      </c>
      <c r="G97" s="306">
        <f>'Formula Audit'!$O164</f>
        <v>31240.006548000005</v>
      </c>
      <c r="H97" s="334">
        <f>F97-G97</f>
        <v>32017.993451999995</v>
      </c>
      <c r="I97" s="335">
        <f>H97/G97</f>
        <v>1.0249035448441606</v>
      </c>
      <c r="J97" s="396"/>
      <c r="K97" s="305">
        <f>'Formula Audit'!$P145</f>
        <v>31629</v>
      </c>
      <c r="L97" s="306">
        <f>'Formula Audit'!$P164</f>
        <v>15690.806982000002</v>
      </c>
      <c r="M97" s="334">
        <f>K97-L97</f>
        <v>15938.193017999998</v>
      </c>
      <c r="N97" s="335">
        <f>M97/L97</f>
        <v>1.0157663041986171</v>
      </c>
      <c r="O97" s="396"/>
      <c r="P97" s="396"/>
    </row>
    <row r="98" spans="1:16" x14ac:dyDescent="0.3">
      <c r="A98" s="64"/>
      <c r="B98" s="396"/>
      <c r="C98" s="12"/>
      <c r="D98" s="216" t="s">
        <v>120</v>
      </c>
      <c r="E98" s="12"/>
      <c r="F98" s="305">
        <f>'Formula Audit'!$O146</f>
        <v>17074</v>
      </c>
      <c r="G98" s="306">
        <f>'Formula Audit'!$O165</f>
        <v>33802.071804000007</v>
      </c>
      <c r="H98" s="334">
        <f>F98-G98</f>
        <v>-16728.071804000007</v>
      </c>
      <c r="I98" s="335">
        <f>H98/G98</f>
        <v>-0.4948830326435929</v>
      </c>
      <c r="J98" s="396"/>
      <c r="K98" s="305">
        <f>'Formula Audit'!$P146</f>
        <v>8537</v>
      </c>
      <c r="L98" s="306">
        <f>'Formula Audit'!$P165</f>
        <v>16977.646386</v>
      </c>
      <c r="M98" s="334">
        <f>K98-L98</f>
        <v>-8440.6463860000003</v>
      </c>
      <c r="N98" s="335">
        <f>M98/L98</f>
        <v>-0.49716233888345518</v>
      </c>
      <c r="O98" s="396"/>
      <c r="P98" s="96"/>
    </row>
    <row r="99" spans="1:16" x14ac:dyDescent="0.3">
      <c r="A99" s="64"/>
      <c r="B99" s="398"/>
      <c r="C99" s="220" t="s">
        <v>92</v>
      </c>
      <c r="D99" s="27"/>
      <c r="E99" s="27"/>
      <c r="F99" s="318">
        <f>SUM(F97:F98)</f>
        <v>80332</v>
      </c>
      <c r="G99" s="318">
        <f>SUM(G97:G98)</f>
        <v>65042.078352000011</v>
      </c>
      <c r="H99" s="336">
        <f>F99-G99</f>
        <v>15289.921647999989</v>
      </c>
      <c r="I99" s="337">
        <f>H99/G99</f>
        <v>0.23507738429348377</v>
      </c>
      <c r="J99" s="398"/>
      <c r="K99" s="318">
        <f>SUM(K97:K98)</f>
        <v>40166</v>
      </c>
      <c r="L99" s="318">
        <f>SUM(L97:L98)</f>
        <v>32668.453368000002</v>
      </c>
      <c r="M99" s="336">
        <f>K99-L99</f>
        <v>7497.5466319999978</v>
      </c>
      <c r="N99" s="337">
        <f>M99/L99</f>
        <v>0.22950418091552907</v>
      </c>
      <c r="O99" s="396"/>
      <c r="P99" s="96"/>
    </row>
    <row r="100" spans="1:16" x14ac:dyDescent="0.3">
      <c r="A100" s="64"/>
      <c r="B100" s="396"/>
      <c r="C100" s="12"/>
      <c r="D100" s="216" t="s">
        <v>188</v>
      </c>
      <c r="E100" s="12"/>
      <c r="F100" s="305">
        <f>'Formula Audit'!$O147</f>
        <v>53274</v>
      </c>
      <c r="G100" s="306">
        <f>'Formula Audit'!$O166</f>
        <v>36049.981861129716</v>
      </c>
      <c r="H100" s="334">
        <f>F100-G100</f>
        <v>17224.018138870284</v>
      </c>
      <c r="I100" s="335">
        <f>H100/G100</f>
        <v>0.47778160347541787</v>
      </c>
      <c r="J100" s="396"/>
      <c r="K100" s="305">
        <f>'Formula Audit'!$P147</f>
        <v>26637</v>
      </c>
      <c r="L100" s="306">
        <f>'Formula Audit'!$P166</f>
        <v>18106.696175574296</v>
      </c>
      <c r="M100" s="334">
        <f>K100-L100</f>
        <v>8530.3038244257041</v>
      </c>
      <c r="N100" s="335">
        <f>M100/L100</f>
        <v>0.4711132136812996</v>
      </c>
      <c r="O100" s="396"/>
      <c r="P100" s="96"/>
    </row>
    <row r="101" spans="1:16" x14ac:dyDescent="0.3">
      <c r="A101" s="64"/>
      <c r="B101" s="398"/>
      <c r="C101" s="220" t="s">
        <v>122</v>
      </c>
      <c r="D101" s="27"/>
      <c r="E101" s="27"/>
      <c r="F101" s="318">
        <f>F99-F100</f>
        <v>27058</v>
      </c>
      <c r="G101" s="318">
        <f>G99-G100</f>
        <v>28992.096490870295</v>
      </c>
      <c r="H101" s="336">
        <f>F101-G101</f>
        <v>-1934.0964908702954</v>
      </c>
      <c r="I101" s="337">
        <f>H101/G101</f>
        <v>-6.6711163557259423E-2</v>
      </c>
      <c r="J101" s="398"/>
      <c r="K101" s="318">
        <f>SUM(K97:K98)-K100</f>
        <v>13529</v>
      </c>
      <c r="L101" s="299">
        <f>L99-L100</f>
        <v>14561.757192425706</v>
      </c>
      <c r="M101" s="336">
        <f>K101-L101</f>
        <v>-1032.7571924257063</v>
      </c>
      <c r="N101" s="337">
        <f>M101/L101</f>
        <v>-7.0922566471778192E-2</v>
      </c>
      <c r="O101" s="396"/>
      <c r="P101" s="96"/>
    </row>
    <row r="102" spans="1:16" x14ac:dyDescent="0.3">
      <c r="A102" s="64"/>
      <c r="B102" s="398"/>
      <c r="C102" s="220" t="s">
        <v>123</v>
      </c>
      <c r="D102" s="27"/>
      <c r="E102" s="27"/>
      <c r="F102" s="338">
        <f>IFERROR(F101/SUM($F$97:$F$98),"")</f>
        <v>0.33682716725588807</v>
      </c>
      <c r="G102" s="339">
        <f>IFERROR(G101/SUM($G$97:$G$98),"")</f>
        <v>0.44574369739491576</v>
      </c>
      <c r="H102" s="174"/>
      <c r="I102" s="106"/>
      <c r="J102" s="398"/>
      <c r="K102" s="338">
        <f>IFERROR(K101/SUM($K$97:$K$98),"")</f>
        <v>0.33682716725588807</v>
      </c>
      <c r="L102" s="339">
        <f>IFERROR(L101/SUM($L$97:$L$98),"")</f>
        <v>0.44574369739491565</v>
      </c>
      <c r="M102" s="105"/>
      <c r="N102" s="106"/>
      <c r="O102" s="396"/>
      <c r="P102" s="396"/>
    </row>
    <row r="103" spans="1:16" x14ac:dyDescent="0.3">
      <c r="A103" s="64"/>
      <c r="B103" s="396"/>
      <c r="C103" s="12"/>
      <c r="D103" s="12"/>
      <c r="E103" s="12"/>
      <c r="F103" s="89"/>
      <c r="G103" s="87"/>
      <c r="H103" s="169"/>
      <c r="I103" s="88"/>
      <c r="J103" s="396"/>
      <c r="K103" s="98"/>
      <c r="L103" s="87"/>
      <c r="M103" s="87"/>
      <c r="N103" s="88"/>
      <c r="O103" s="396"/>
      <c r="P103" s="96"/>
    </row>
    <row r="104" spans="1:16" x14ac:dyDescent="0.3">
      <c r="A104" s="64"/>
      <c r="B104" s="396"/>
      <c r="C104" s="12"/>
      <c r="D104" s="216" t="s">
        <v>64</v>
      </c>
      <c r="E104" s="12"/>
      <c r="F104" s="305">
        <f>'Formula Audit'!$O148</f>
        <v>7296</v>
      </c>
      <c r="G104" s="290">
        <f>'Formula Audit'!$O167</f>
        <v>9791.5</v>
      </c>
      <c r="H104" s="334">
        <f>F104-G104</f>
        <v>-2495.5</v>
      </c>
      <c r="I104" s="335">
        <f>H104/G104</f>
        <v>-0.25486391257723534</v>
      </c>
      <c r="J104" s="396"/>
      <c r="K104" s="305">
        <f>'Formula Audit'!$P148</f>
        <v>3648</v>
      </c>
      <c r="L104" s="290">
        <f>'Formula Audit'!$P167</f>
        <v>4895.75</v>
      </c>
      <c r="M104" s="334">
        <f>K104-L104</f>
        <v>-1247.75</v>
      </c>
      <c r="N104" s="335">
        <f>M104/L104</f>
        <v>-0.25486391257723534</v>
      </c>
      <c r="O104" s="396"/>
      <c r="P104" s="96"/>
    </row>
    <row r="105" spans="1:16" x14ac:dyDescent="0.3">
      <c r="A105" s="64"/>
      <c r="B105" s="396"/>
      <c r="C105" s="12"/>
      <c r="D105" s="216" t="s">
        <v>65</v>
      </c>
      <c r="E105" s="12"/>
      <c r="F105" s="305">
        <f>'Formula Audit'!$O149</f>
        <v>4038</v>
      </c>
      <c r="G105" s="290">
        <f>'Formula Audit'!$O168</f>
        <v>2965.5285203810881</v>
      </c>
      <c r="H105" s="334">
        <f>F105-G105</f>
        <v>1072.4714796189119</v>
      </c>
      <c r="I105" s="335">
        <f>H105/G105</f>
        <v>0.36164598392771247</v>
      </c>
      <c r="J105" s="396"/>
      <c r="K105" s="305">
        <f>'Formula Audit'!$P149</f>
        <v>2019</v>
      </c>
      <c r="L105" s="290">
        <f>'Formula Audit'!$P168</f>
        <v>1489.4854628605922</v>
      </c>
      <c r="M105" s="334">
        <f>K105-L105</f>
        <v>529.51453713940782</v>
      </c>
      <c r="N105" s="335">
        <f>M105/L105</f>
        <v>0.35550164828226155</v>
      </c>
      <c r="O105" s="396"/>
      <c r="P105" s="396"/>
    </row>
    <row r="106" spans="1:16" x14ac:dyDescent="0.3">
      <c r="A106" s="64"/>
      <c r="B106" s="396"/>
      <c r="C106" s="12"/>
      <c r="D106" s="216" t="s">
        <v>66</v>
      </c>
      <c r="E106" s="12"/>
      <c r="F106" s="305">
        <f>'Formula Audit'!$O150</f>
        <v>7294</v>
      </c>
      <c r="G106" s="290">
        <f>'Formula Audit'!$O169</f>
        <v>5689.166666666667</v>
      </c>
      <c r="H106" s="334">
        <f>F106-G106</f>
        <v>1604.833333333333</v>
      </c>
      <c r="I106" s="335">
        <f>H106/G106</f>
        <v>0.28208583565255596</v>
      </c>
      <c r="J106" s="396"/>
      <c r="K106" s="305">
        <f>'Formula Audit'!$P150</f>
        <v>3647</v>
      </c>
      <c r="L106" s="290">
        <f>'Formula Audit'!$P169</f>
        <v>2844.5833333333335</v>
      </c>
      <c r="M106" s="334">
        <f>K106-L106</f>
        <v>802.41666666666652</v>
      </c>
      <c r="N106" s="335">
        <f>M106/L106</f>
        <v>0.28208583565255596</v>
      </c>
      <c r="O106" s="396"/>
      <c r="P106" s="396"/>
    </row>
    <row r="107" spans="1:16" x14ac:dyDescent="0.3">
      <c r="A107" s="64"/>
      <c r="B107" s="396"/>
      <c r="C107" s="12"/>
      <c r="D107" s="216" t="s">
        <v>67</v>
      </c>
      <c r="E107" s="12"/>
      <c r="F107" s="305">
        <f>'Formula Audit'!$O151</f>
        <v>880</v>
      </c>
      <c r="G107" s="290">
        <f>'Formula Audit'!$O170</f>
        <v>458.80682069500807</v>
      </c>
      <c r="H107" s="334">
        <f>F107-G107</f>
        <v>421.19317930499193</v>
      </c>
      <c r="I107" s="335">
        <f>H107/G107</f>
        <v>0.91801856534513071</v>
      </c>
      <c r="J107" s="396"/>
      <c r="K107" s="305">
        <f>'Formula Audit'!$P151</f>
        <v>440</v>
      </c>
      <c r="L107" s="290">
        <f>'Formula Audit'!$P170</f>
        <v>230.44327005787204</v>
      </c>
      <c r="M107" s="334">
        <f>K107-L107</f>
        <v>209.55672994212796</v>
      </c>
      <c r="N107" s="335">
        <f>M107/L107</f>
        <v>0.90936363595908543</v>
      </c>
      <c r="O107" s="396"/>
      <c r="P107" s="96"/>
    </row>
    <row r="108" spans="1:16" x14ac:dyDescent="0.3">
      <c r="A108" s="64"/>
      <c r="B108" s="396"/>
      <c r="C108" s="12"/>
      <c r="D108" s="216" t="s">
        <v>68</v>
      </c>
      <c r="E108" s="12"/>
      <c r="F108" s="305">
        <f>'Formula Audit'!$O152</f>
        <v>1742</v>
      </c>
      <c r="G108" s="290">
        <f>'Formula Audit'!$O171</f>
        <v>1443.3481940000001</v>
      </c>
      <c r="H108" s="334">
        <f>F108-G108</f>
        <v>298.65180599999985</v>
      </c>
      <c r="I108" s="335">
        <f>H108/G108</f>
        <v>0.20691597997038808</v>
      </c>
      <c r="J108" s="396"/>
      <c r="K108" s="305">
        <f>'Formula Audit'!$P152</f>
        <v>871</v>
      </c>
      <c r="L108" s="290">
        <f>'Formula Audit'!P171</f>
        <v>721.67409700000007</v>
      </c>
      <c r="M108" s="334">
        <f>K108-L108</f>
        <v>149.32590299999993</v>
      </c>
      <c r="N108" s="335">
        <f>M108/L108</f>
        <v>0.20691597997038808</v>
      </c>
      <c r="O108" s="396"/>
      <c r="P108" s="96"/>
    </row>
    <row r="109" spans="1:16" x14ac:dyDescent="0.3">
      <c r="A109" s="64"/>
      <c r="B109" s="398"/>
      <c r="C109" s="220" t="s">
        <v>124</v>
      </c>
      <c r="D109" s="27"/>
      <c r="E109" s="27"/>
      <c r="F109" s="318">
        <f>SUM(F104:F108)</f>
        <v>21250</v>
      </c>
      <c r="G109" s="299">
        <f>SUM(G104:G108)</f>
        <v>20348.350201742767</v>
      </c>
      <c r="H109" s="336">
        <f>F109-G109</f>
        <v>901.64979825723276</v>
      </c>
      <c r="I109" s="337">
        <f>H109/G109</f>
        <v>4.4310707714279925E-2</v>
      </c>
      <c r="J109" s="398"/>
      <c r="K109" s="318">
        <f>SUM(K104:K108)</f>
        <v>10625</v>
      </c>
      <c r="L109" s="299">
        <f>SUM(L104:L108)</f>
        <v>10181.936163251798</v>
      </c>
      <c r="M109" s="336">
        <f>K109-L109</f>
        <v>443.06383674820245</v>
      </c>
      <c r="N109" s="337">
        <f>M109/L109</f>
        <v>4.3514694027182103E-2</v>
      </c>
      <c r="O109" s="396"/>
      <c r="P109" s="396"/>
    </row>
    <row r="110" spans="1:16" x14ac:dyDescent="0.3">
      <c r="A110" s="64"/>
      <c r="B110" s="396"/>
      <c r="C110" s="12"/>
      <c r="D110" s="12"/>
      <c r="E110" s="12"/>
      <c r="F110" s="89"/>
      <c r="G110" s="90"/>
      <c r="H110" s="170"/>
      <c r="I110" s="91"/>
      <c r="J110" s="396"/>
      <c r="K110" s="89"/>
      <c r="L110" s="90"/>
      <c r="M110" s="90"/>
      <c r="N110" s="91"/>
      <c r="O110" s="396"/>
      <c r="P110" s="396"/>
    </row>
    <row r="111" spans="1:16" x14ac:dyDescent="0.3">
      <c r="A111" s="64"/>
      <c r="B111" s="396"/>
      <c r="C111" s="216" t="s">
        <v>125</v>
      </c>
      <c r="D111" s="12"/>
      <c r="E111" s="12"/>
      <c r="F111" s="243">
        <f>F101-F109</f>
        <v>5808</v>
      </c>
      <c r="G111" s="328">
        <f>G101-G109</f>
        <v>8643.7462891275281</v>
      </c>
      <c r="H111" s="334">
        <f>F111-G111</f>
        <v>-2835.7462891275281</v>
      </c>
      <c r="I111" s="335">
        <f>H111/G111</f>
        <v>-0.32806912584818121</v>
      </c>
      <c r="J111" s="396"/>
      <c r="K111" s="243">
        <f>K101-K109</f>
        <v>2904</v>
      </c>
      <c r="L111" s="328">
        <f>L101-L109</f>
        <v>4379.8210291739088</v>
      </c>
      <c r="M111" s="334">
        <f>K111-L111</f>
        <v>-1475.8210291739088</v>
      </c>
      <c r="N111" s="335">
        <f>M111/L111</f>
        <v>-0.33695920891367287</v>
      </c>
      <c r="O111" s="396"/>
      <c r="P111" s="396"/>
    </row>
    <row r="112" spans="1:16" x14ac:dyDescent="0.3">
      <c r="A112" s="64"/>
      <c r="B112" s="398"/>
      <c r="C112" s="220" t="s">
        <v>126</v>
      </c>
      <c r="D112" s="27"/>
      <c r="E112" s="27"/>
      <c r="F112" s="338">
        <f>IFERROR(F111/SUM($F$97:$F$98),"")</f>
        <v>7.229995518597819E-2</v>
      </c>
      <c r="G112" s="339">
        <f>IFERROR(G111/SUM($G$97:$G$98),"")</f>
        <v>0.13289468153752096</v>
      </c>
      <c r="H112" s="175"/>
      <c r="I112" s="106"/>
      <c r="J112" s="398"/>
      <c r="K112" s="338">
        <f>IFERROR(K111/SUM($K$97:$K$98),"")</f>
        <v>7.229995518597819E-2</v>
      </c>
      <c r="L112" s="339">
        <f>IFERROR(L111/SUM($L$97:$L$98),"")</f>
        <v>0.13406882106834328</v>
      </c>
      <c r="M112" s="105"/>
      <c r="N112" s="106"/>
      <c r="O112" s="396"/>
      <c r="P112" s="396"/>
    </row>
    <row r="113" spans="1:16" x14ac:dyDescent="0.3">
      <c r="A113" s="64"/>
      <c r="B113" s="396"/>
      <c r="C113" s="12"/>
      <c r="D113" s="12"/>
      <c r="E113" s="12"/>
      <c r="F113" s="89"/>
      <c r="G113" s="90"/>
      <c r="H113" s="170"/>
      <c r="I113" s="91"/>
      <c r="J113" s="396"/>
      <c r="K113" s="89"/>
      <c r="L113" s="90"/>
      <c r="M113" s="90"/>
      <c r="N113" s="91"/>
      <c r="O113" s="396"/>
      <c r="P113" s="396"/>
    </row>
    <row r="114" spans="1:16" x14ac:dyDescent="0.3">
      <c r="A114" s="64"/>
      <c r="B114" s="396"/>
      <c r="C114" s="97"/>
      <c r="D114" s="325" t="s">
        <v>127</v>
      </c>
      <c r="E114" s="12"/>
      <c r="F114" s="305">
        <f>'Formula Audit'!$O153</f>
        <v>766</v>
      </c>
      <c r="G114" s="306">
        <f>'Formula Audit'!$O172</f>
        <v>740.00980200419644</v>
      </c>
      <c r="H114" s="334">
        <f>F114-G114</f>
        <v>25.990197995803555</v>
      </c>
      <c r="I114" s="335">
        <f>IFERROR(H114/G114,0)</f>
        <v>3.5121423966835742E-2</v>
      </c>
      <c r="J114" s="396"/>
      <c r="K114" s="305">
        <f>'Formula Audit'!$P153</f>
        <v>383</v>
      </c>
      <c r="L114" s="306">
        <f>'Formula Audit'!P172</f>
        <v>368.80238871602978</v>
      </c>
      <c r="M114" s="334">
        <f>K114-L114</f>
        <v>14.197611283970218</v>
      </c>
      <c r="N114" s="335">
        <f>IFERROR(M114/L114,0)</f>
        <v>3.8496527458508643E-2</v>
      </c>
      <c r="O114" s="396"/>
      <c r="P114" s="396"/>
    </row>
    <row r="115" spans="1:16" x14ac:dyDescent="0.3">
      <c r="A115" s="64"/>
      <c r="B115" s="396"/>
      <c r="C115" s="216" t="s">
        <v>128</v>
      </c>
      <c r="D115" s="12"/>
      <c r="E115" s="12"/>
      <c r="F115" s="243">
        <f>F111-F114</f>
        <v>5042</v>
      </c>
      <c r="G115" s="328">
        <f>G111-G114</f>
        <v>7903.7364871233312</v>
      </c>
      <c r="H115" s="334">
        <f>F115-G115</f>
        <v>-2861.7364871233312</v>
      </c>
      <c r="I115" s="335">
        <f>H115/G115</f>
        <v>-0.3620738737666212</v>
      </c>
      <c r="J115" s="396"/>
      <c r="K115" s="243">
        <f>K111-K114</f>
        <v>2521</v>
      </c>
      <c r="L115" s="328">
        <f>L111-L114</f>
        <v>4011.018640457879</v>
      </c>
      <c r="M115" s="334">
        <f>K115-L115</f>
        <v>-1490.018640457879</v>
      </c>
      <c r="N115" s="335">
        <f>M115/L115</f>
        <v>-0.37148135524191567</v>
      </c>
      <c r="O115" s="396"/>
      <c r="P115" s="173"/>
    </row>
    <row r="116" spans="1:16" x14ac:dyDescent="0.3">
      <c r="A116" s="64"/>
      <c r="B116" s="396"/>
      <c r="C116" s="12"/>
      <c r="D116" s="12"/>
      <c r="E116" s="12"/>
      <c r="F116" s="89"/>
      <c r="G116" s="90"/>
      <c r="H116" s="170"/>
      <c r="I116" s="91"/>
      <c r="J116" s="396"/>
      <c r="K116" s="89"/>
      <c r="L116" s="90"/>
      <c r="M116" s="90"/>
      <c r="N116" s="91"/>
      <c r="O116" s="396"/>
      <c r="P116" s="396"/>
    </row>
    <row r="117" spans="1:16" x14ac:dyDescent="0.3">
      <c r="A117" s="64"/>
      <c r="B117" s="396"/>
      <c r="C117" s="12"/>
      <c r="D117" s="216" t="s">
        <v>129</v>
      </c>
      <c r="E117" s="12"/>
      <c r="F117" s="305">
        <f>'Formula Audit'!$O154</f>
        <v>3434</v>
      </c>
      <c r="G117" s="306">
        <f>'Formula Audit'!$O173</f>
        <v>2093.1781488308197</v>
      </c>
      <c r="H117" s="334">
        <f>F117-G117</f>
        <v>1340.8218511691803</v>
      </c>
      <c r="I117" s="335">
        <f>H117/G117</f>
        <v>0.64056747960899507</v>
      </c>
      <c r="J117" s="396"/>
      <c r="K117" s="305">
        <f>'Formula Audit'!$P154</f>
        <v>1717</v>
      </c>
      <c r="L117" s="306">
        <f>'Formula Audit'!$P173</f>
        <v>1062.2541106270219</v>
      </c>
      <c r="M117" s="334">
        <f>K117-L117</f>
        <v>654.74588937297813</v>
      </c>
      <c r="N117" s="335">
        <f>M117/L117</f>
        <v>0.61637406984144139</v>
      </c>
      <c r="O117" s="396"/>
      <c r="P117" s="396"/>
    </row>
    <row r="118" spans="1:16" x14ac:dyDescent="0.3">
      <c r="A118" s="64"/>
      <c r="B118" s="398"/>
      <c r="C118" s="295" t="s">
        <v>130</v>
      </c>
      <c r="D118" s="101"/>
      <c r="E118" s="27"/>
      <c r="F118" s="318">
        <f>F115-F117</f>
        <v>1608</v>
      </c>
      <c r="G118" s="299">
        <f>G115-G117</f>
        <v>5810.5583382925115</v>
      </c>
      <c r="H118" s="340">
        <f>SUM(H117)</f>
        <v>1340.8218511691803</v>
      </c>
      <c r="I118" s="337">
        <f>H118/G118</f>
        <v>0.23075611208185437</v>
      </c>
      <c r="J118" s="398"/>
      <c r="K118" s="318">
        <f>K115-K117</f>
        <v>804</v>
      </c>
      <c r="L118" s="299">
        <f>L115-L117</f>
        <v>2948.7645298308571</v>
      </c>
      <c r="M118" s="336">
        <f>K118-L118</f>
        <v>-2144.7645298308571</v>
      </c>
      <c r="N118" s="337">
        <f>M118/L118</f>
        <v>-0.72734343761042264</v>
      </c>
      <c r="O118" s="396"/>
      <c r="P118" s="396"/>
    </row>
    <row r="119" spans="1:16" x14ac:dyDescent="0.3">
      <c r="A119" s="64"/>
      <c r="B119" s="398"/>
      <c r="C119" s="295" t="s">
        <v>131</v>
      </c>
      <c r="D119" s="101"/>
      <c r="E119" s="27"/>
      <c r="F119" s="338">
        <f>IFERROR(F118/SUM($F$97:$F$98),"")</f>
        <v>2.0016929741572473E-2</v>
      </c>
      <c r="G119" s="339">
        <f>IFERROR(G118/SUM($G$97:$G$98),"")</f>
        <v>8.9335373123325776E-2</v>
      </c>
      <c r="H119" s="175"/>
      <c r="I119" s="106"/>
      <c r="J119" s="398"/>
      <c r="K119" s="338">
        <f>IFERROR(K118/SUM($K$97:$K$98),"")</f>
        <v>2.0016929741572473E-2</v>
      </c>
      <c r="L119" s="339">
        <f>IFERROR(L118/SUM($L$97:$L$98),"")</f>
        <v>9.0263364984376163E-2</v>
      </c>
      <c r="M119" s="105"/>
      <c r="N119" s="106"/>
      <c r="O119" s="396"/>
      <c r="P119" s="396"/>
    </row>
    <row r="120" spans="1:16" x14ac:dyDescent="0.3">
      <c r="A120" s="64"/>
      <c r="B120" s="396"/>
      <c r="C120" s="11"/>
      <c r="D120" s="11"/>
      <c r="E120" s="11"/>
      <c r="F120" s="11"/>
      <c r="G120" s="11"/>
      <c r="H120" s="11"/>
      <c r="I120" s="13"/>
      <c r="J120" s="171"/>
      <c r="K120" s="11"/>
      <c r="L120" s="11"/>
      <c r="M120" s="11"/>
      <c r="N120" s="11"/>
      <c r="O120" s="396"/>
      <c r="P120" s="396"/>
    </row>
    <row r="121" spans="1:16" x14ac:dyDescent="0.3">
      <c r="A121" s="64"/>
      <c r="B121" s="396"/>
      <c r="C121" s="396"/>
      <c r="D121" s="11"/>
      <c r="E121" s="11"/>
      <c r="F121" s="396"/>
      <c r="G121" s="172"/>
      <c r="H121" s="172"/>
      <c r="I121" s="172"/>
      <c r="J121" s="172"/>
      <c r="K121" s="172"/>
      <c r="L121" s="172"/>
      <c r="M121" s="172"/>
      <c r="N121" s="172"/>
      <c r="O121" s="396"/>
      <c r="P121" s="396"/>
    </row>
    <row r="122" spans="1:16" x14ac:dyDescent="0.3">
      <c r="A122" s="64"/>
      <c r="B122" s="396"/>
      <c r="C122" s="11"/>
      <c r="D122" s="11"/>
      <c r="E122" s="341" t="str">
        <f>M95</f>
        <v>February</v>
      </c>
      <c r="F122" s="396"/>
      <c r="G122" s="11"/>
      <c r="H122" s="11"/>
      <c r="I122" s="13"/>
      <c r="J122" s="11"/>
      <c r="K122" s="11"/>
      <c r="L122" s="11"/>
      <c r="M122" s="11"/>
      <c r="N122" s="11"/>
      <c r="O122" s="396"/>
      <c r="P122" s="396"/>
    </row>
    <row r="123" spans="1:16" x14ac:dyDescent="0.3">
      <c r="A123" s="64"/>
      <c r="B123" s="55"/>
      <c r="C123" s="179" t="s">
        <v>54</v>
      </c>
      <c r="D123" s="32"/>
      <c r="E123" s="32" t="s">
        <v>184</v>
      </c>
      <c r="F123" s="63" t="s">
        <v>185</v>
      </c>
      <c r="G123" s="55"/>
      <c r="H123" s="177"/>
      <c r="I123" s="55"/>
      <c r="J123" s="55"/>
      <c r="K123" s="55"/>
      <c r="L123" s="55"/>
      <c r="M123" s="55"/>
      <c r="N123" s="55"/>
      <c r="O123" s="396"/>
      <c r="P123" s="396"/>
    </row>
    <row r="124" spans="1:16" x14ac:dyDescent="0.3">
      <c r="A124" s="64"/>
      <c r="B124" s="398"/>
      <c r="C124" s="27"/>
      <c r="D124" s="220" t="s">
        <v>92</v>
      </c>
      <c r="E124" s="318">
        <f>SUM(K97:K98)</f>
        <v>40166</v>
      </c>
      <c r="F124" s="300">
        <f>SUM(L97:L98)</f>
        <v>32668.453368000002</v>
      </c>
      <c r="G124" s="27"/>
      <c r="H124" s="27"/>
      <c r="I124" s="176"/>
      <c r="J124" s="27"/>
      <c r="K124" s="27"/>
      <c r="L124" s="27"/>
      <c r="M124" s="27"/>
      <c r="N124" s="27"/>
      <c r="O124" s="396"/>
      <c r="P124" s="396"/>
    </row>
    <row r="125" spans="1:16" x14ac:dyDescent="0.3">
      <c r="A125" s="64"/>
      <c r="B125" s="396"/>
      <c r="C125" s="12"/>
      <c r="D125" s="216" t="s">
        <v>189</v>
      </c>
      <c r="E125" s="243">
        <f>K100</f>
        <v>26637</v>
      </c>
      <c r="F125" s="323">
        <f>L100</f>
        <v>18106.696175574296</v>
      </c>
      <c r="G125" s="11"/>
      <c r="H125" s="11"/>
      <c r="I125" s="13"/>
      <c r="J125" s="11"/>
      <c r="K125" s="11"/>
      <c r="L125" s="11"/>
      <c r="M125" s="11"/>
      <c r="N125" s="11"/>
      <c r="O125" s="396"/>
      <c r="P125" s="396"/>
    </row>
    <row r="126" spans="1:16" x14ac:dyDescent="0.3">
      <c r="A126" s="64"/>
      <c r="B126" s="396"/>
      <c r="C126" s="12"/>
      <c r="D126" s="216" t="s">
        <v>190</v>
      </c>
      <c r="E126" s="243">
        <f>K109</f>
        <v>10625</v>
      </c>
      <c r="F126" s="323">
        <f>L109</f>
        <v>10181.936163251798</v>
      </c>
      <c r="G126" s="11"/>
      <c r="H126" s="11"/>
      <c r="I126" s="13"/>
      <c r="J126" s="11"/>
      <c r="K126" s="11"/>
      <c r="L126" s="11"/>
      <c r="M126" s="11"/>
      <c r="N126" s="11"/>
      <c r="O126" s="396"/>
      <c r="P126" s="396"/>
    </row>
    <row r="127" spans="1:16" x14ac:dyDescent="0.3">
      <c r="A127" s="64"/>
      <c r="B127" s="396"/>
      <c r="C127" s="12"/>
      <c r="D127" s="216" t="s">
        <v>191</v>
      </c>
      <c r="E127" s="243">
        <f>K114+K117</f>
        <v>2100</v>
      </c>
      <c r="F127" s="323">
        <f>L114+L117</f>
        <v>1431.0564993430517</v>
      </c>
      <c r="G127" s="11"/>
      <c r="H127" s="11"/>
      <c r="I127" s="13"/>
      <c r="J127" s="11"/>
      <c r="K127" s="11"/>
      <c r="L127" s="11"/>
      <c r="M127" s="11"/>
      <c r="N127" s="11"/>
      <c r="O127" s="396"/>
      <c r="P127" s="396"/>
    </row>
    <row r="131" spans="1:17" x14ac:dyDescent="0.3">
      <c r="A131" s="211" t="s">
        <v>0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spans="1:17" ht="18" x14ac:dyDescent="0.3">
      <c r="A132" s="199" t="s">
        <v>38</v>
      </c>
      <c r="B132" s="449" t="str">
        <f>'Control Center'!F6</f>
        <v/>
      </c>
      <c r="C132" s="450"/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450"/>
      <c r="O132" s="450"/>
      <c r="P132" s="450"/>
      <c r="Q132" s="450"/>
    </row>
    <row r="133" spans="1:17" x14ac:dyDescent="0.3">
      <c r="A133" s="64"/>
      <c r="B133" s="396"/>
      <c r="C133" s="396"/>
      <c r="D133" s="396"/>
      <c r="E133" s="396"/>
      <c r="F133" s="396"/>
      <c r="G133" s="396"/>
      <c r="H133" s="396"/>
      <c r="I133" s="396"/>
      <c r="J133" s="396"/>
      <c r="K133" s="396"/>
      <c r="L133" s="396"/>
      <c r="M133" s="396"/>
      <c r="N133" s="396"/>
      <c r="O133" s="396"/>
      <c r="P133" s="396"/>
      <c r="Q133" s="396"/>
    </row>
    <row r="134" spans="1:17" x14ac:dyDescent="0.3">
      <c r="A134" s="64"/>
      <c r="B134" s="55"/>
      <c r="C134" s="55" t="s">
        <v>35</v>
      </c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</row>
    <row r="135" spans="1:17" x14ac:dyDescent="0.3">
      <c r="A135" s="64"/>
      <c r="B135" s="396"/>
      <c r="C135" s="262" t="str">
        <f>'Formula Audit'!A3</f>
        <v>Figures in USD</v>
      </c>
      <c r="D135" s="21"/>
      <c r="E135" s="21"/>
      <c r="F135" s="1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x14ac:dyDescent="0.3">
      <c r="A136" s="67"/>
      <c r="B136" s="397"/>
      <c r="C136" s="83"/>
      <c r="D136" s="83"/>
      <c r="E136" s="213" t="s">
        <v>50</v>
      </c>
      <c r="F136" s="342" t="str">
        <f>'Control Center'!E25</f>
        <v>Central Case</v>
      </c>
      <c r="G136" s="11"/>
      <c r="H136" s="397"/>
      <c r="I136" s="397"/>
      <c r="J136" s="397"/>
      <c r="K136" s="397"/>
      <c r="L136" s="397"/>
      <c r="M136" s="397"/>
      <c r="N136" s="397"/>
      <c r="O136" s="397"/>
      <c r="P136" s="397"/>
      <c r="Q136" s="397"/>
    </row>
    <row r="137" spans="1:17" x14ac:dyDescent="0.3">
      <c r="A137" s="64"/>
      <c r="B137" s="396"/>
      <c r="C137" s="263" t="s">
        <v>192</v>
      </c>
      <c r="D137" s="8"/>
      <c r="E137" s="8"/>
      <c r="F137" s="8"/>
      <c r="G137" s="11"/>
      <c r="H137" s="349">
        <f>'Formula Audit'!C212</f>
        <v>2025</v>
      </c>
      <c r="I137" s="349">
        <f>'Formula Audit'!D212</f>
        <v>2026</v>
      </c>
      <c r="J137" s="349">
        <f>'Formula Audit'!E212</f>
        <v>2027</v>
      </c>
      <c r="K137" s="349">
        <f>'Formula Audit'!F212</f>
        <v>2028</v>
      </c>
      <c r="L137" s="349">
        <f>'Formula Audit'!G212</f>
        <v>2029</v>
      </c>
      <c r="M137" s="349">
        <f>'Formula Audit'!H212</f>
        <v>2030</v>
      </c>
      <c r="N137" s="349">
        <f>'Formula Audit'!I212</f>
        <v>2031</v>
      </c>
      <c r="O137" s="349">
        <f>'Formula Audit'!J212</f>
        <v>2032</v>
      </c>
      <c r="P137" s="349">
        <f>'Formula Audit'!K212</f>
        <v>2033</v>
      </c>
      <c r="Q137" s="349">
        <f>'Formula Audit'!L212</f>
        <v>2034</v>
      </c>
    </row>
    <row r="138" spans="1:17" x14ac:dyDescent="0.3">
      <c r="A138" s="64"/>
      <c r="B138" s="396"/>
      <c r="C138" s="216" t="s">
        <v>173</v>
      </c>
      <c r="D138" s="12"/>
      <c r="E138" s="12"/>
      <c r="F138" s="12"/>
      <c r="G138" s="12"/>
      <c r="H138" s="190">
        <f>'Formula Audit'!C213</f>
        <v>0.30592763530561862</v>
      </c>
      <c r="I138" s="190">
        <f>'Formula Audit'!D213</f>
        <v>0.1757045300933002</v>
      </c>
      <c r="J138" s="190">
        <f>'Formula Audit'!E213</f>
        <v>0.22050135065806914</v>
      </c>
      <c r="K138" s="190">
        <f>'Formula Audit'!F213</f>
        <v>0.23215023611848973</v>
      </c>
      <c r="L138" s="190">
        <f>'Formula Audit'!G213</f>
        <v>0.20969613046651525</v>
      </c>
      <c r="M138" s="190">
        <f>'Formula Audit'!H213</f>
        <v>0.20648262281474497</v>
      </c>
      <c r="N138" s="190">
        <f>'Formula Audit'!I213</f>
        <v>0.18791432360345559</v>
      </c>
      <c r="O138" s="190">
        <f>'Formula Audit'!J213</f>
        <v>0.18507613157704153</v>
      </c>
      <c r="P138" s="190">
        <f>'Formula Audit'!K213</f>
        <v>0.16768551095670137</v>
      </c>
      <c r="Q138" s="191">
        <f>'Formula Audit'!L213</f>
        <v>0.15672221009069623</v>
      </c>
    </row>
    <row r="139" spans="1:17" x14ac:dyDescent="0.3">
      <c r="A139" s="64"/>
      <c r="B139" s="396"/>
      <c r="C139" s="216" t="s">
        <v>193</v>
      </c>
      <c r="D139" s="12"/>
      <c r="E139" s="12"/>
      <c r="F139" s="12"/>
      <c r="G139" s="12"/>
      <c r="H139" s="190">
        <f>'Formula Audit'!C214</f>
        <v>0.20113072039231675</v>
      </c>
      <c r="I139" s="190">
        <f>'Formula Audit'!D214</f>
        <v>9.6843086063542458E-2</v>
      </c>
      <c r="J139" s="190">
        <f>'Formula Audit'!E214</f>
        <v>0.1342449390985683</v>
      </c>
      <c r="K139" s="190">
        <f>'Formula Audit'!F214</f>
        <v>0.15504609413225429</v>
      </c>
      <c r="L139" s="190">
        <f>'Formula Audit'!G214</f>
        <v>0.15029333710736631</v>
      </c>
      <c r="M139" s="190">
        <f>'Formula Audit'!H214</f>
        <v>0.15884686409932011</v>
      </c>
      <c r="N139" s="190">
        <f>'Formula Audit'!I214</f>
        <v>0.15134580051014793</v>
      </c>
      <c r="O139" s="190">
        <f>'Formula Audit'!J214</f>
        <v>0.15528238331965072</v>
      </c>
      <c r="P139" s="190">
        <f>'Formula Audit'!K214</f>
        <v>0.14491937861061824</v>
      </c>
      <c r="Q139" s="191">
        <f>'Formula Audit'!L214</f>
        <v>0.13879048783774989</v>
      </c>
    </row>
    <row r="140" spans="1:17" x14ac:dyDescent="0.3">
      <c r="A140" s="64"/>
      <c r="B140" s="396"/>
      <c r="C140" s="216" t="s">
        <v>174</v>
      </c>
      <c r="D140" s="12"/>
      <c r="E140" s="12"/>
      <c r="F140" s="12"/>
      <c r="G140" s="12"/>
      <c r="H140" s="190">
        <f>'Formula Audit'!C215</f>
        <v>0.21767949324155381</v>
      </c>
      <c r="I140" s="190">
        <f>'Formula Audit'!D215</f>
        <v>0.13956250687109248</v>
      </c>
      <c r="J140" s="190">
        <f>'Formula Audit'!E215</f>
        <v>0.18142553101112882</v>
      </c>
      <c r="K140" s="190">
        <f>'Formula Audit'!F215</f>
        <v>0.2000509928073686</v>
      </c>
      <c r="L140" s="190">
        <f>'Formula Audit'!G215</f>
        <v>0.18825168391868566</v>
      </c>
      <c r="M140" s="190">
        <f>'Formula Audit'!H215</f>
        <v>0.19084711348434899</v>
      </c>
      <c r="N140" s="190">
        <f>'Formula Audit'!I215</f>
        <v>0.17783704378169002</v>
      </c>
      <c r="O140" s="190">
        <f>'Formula Audit'!J215</f>
        <v>0.17810305807441401</v>
      </c>
      <c r="P140" s="190">
        <f>'Formula Audit'!K215</f>
        <v>0.16358811243658733</v>
      </c>
      <c r="Q140" s="191">
        <f>'Formula Audit'!L215</f>
        <v>0.15441628396899096</v>
      </c>
    </row>
    <row r="141" spans="1:17" x14ac:dyDescent="0.3">
      <c r="A141" s="64"/>
      <c r="B141" s="398"/>
      <c r="C141" s="220" t="s">
        <v>166</v>
      </c>
      <c r="D141" s="27"/>
      <c r="E141" s="27"/>
      <c r="F141" s="27"/>
      <c r="G141" s="27"/>
      <c r="H141" s="194">
        <f>'Formula Audit'!C216</f>
        <v>0.44574369739491565</v>
      </c>
      <c r="I141" s="194">
        <f>'Formula Audit'!D216</f>
        <v>0.38117024244903086</v>
      </c>
      <c r="J141" s="194">
        <f>'Formula Audit'!E216</f>
        <v>0.40134659860307065</v>
      </c>
      <c r="K141" s="194">
        <f>'Formula Audit'!F216</f>
        <v>0.42225975654417308</v>
      </c>
      <c r="L141" s="194">
        <f>'Formula Audit'!G216</f>
        <v>0.42663143462119307</v>
      </c>
      <c r="M141" s="194">
        <f>'Formula Audit'!H216</f>
        <v>0.44754511225773974</v>
      </c>
      <c r="N141" s="194">
        <f>'Formula Audit'!I216</f>
        <v>0.44754511225773974</v>
      </c>
      <c r="O141" s="194">
        <f>'Formula Audit'!J216</f>
        <v>0.46845927019884215</v>
      </c>
      <c r="P141" s="194">
        <f>'Formula Audit'!K216</f>
        <v>0.46845927019884226</v>
      </c>
      <c r="Q141" s="54">
        <f>'Formula Audit'!L216</f>
        <v>0.47356875006292476</v>
      </c>
    </row>
    <row r="142" spans="1:17" x14ac:dyDescent="0.3">
      <c r="A142" s="64"/>
      <c r="B142" s="396"/>
      <c r="C142" s="216" t="s">
        <v>194</v>
      </c>
      <c r="D142" s="12"/>
      <c r="E142" s="12"/>
      <c r="F142" s="12"/>
      <c r="G142" s="12"/>
      <c r="H142" s="190">
        <f>'Formula Audit'!C217</f>
        <v>0.14052687407310049</v>
      </c>
      <c r="I142" s="190">
        <f>'Formula Audit'!D217</f>
        <v>9.1760233880529063E-2</v>
      </c>
      <c r="J142" s="190">
        <f>'Formula Audit'!E217</f>
        <v>0.12853149592343194</v>
      </c>
      <c r="K142" s="190">
        <f>'Formula Audit'!F217</f>
        <v>0.15819235998175904</v>
      </c>
      <c r="L142" s="190">
        <f>'Formula Audit'!G217</f>
        <v>0.16687052961652218</v>
      </c>
      <c r="M142" s="190">
        <f>'Formula Audit'!H217</f>
        <v>0.19099047697131674</v>
      </c>
      <c r="N142" s="190">
        <f>'Formula Audit'!I217</f>
        <v>0.20125389554610321</v>
      </c>
      <c r="O142" s="190">
        <f>'Formula Audit'!J217</f>
        <v>0.228690880940881</v>
      </c>
      <c r="P142" s="190">
        <f>'Formula Audit'!K217</f>
        <v>0.23553705609659012</v>
      </c>
      <c r="Q142" s="191">
        <f>'Formula Audit'!L217</f>
        <v>0.24758066578473392</v>
      </c>
    </row>
    <row r="143" spans="1:17" x14ac:dyDescent="0.3">
      <c r="A143" s="64"/>
      <c r="B143" s="398"/>
      <c r="C143" s="220" t="s">
        <v>195</v>
      </c>
      <c r="D143" s="27"/>
      <c r="E143" s="27"/>
      <c r="F143" s="27"/>
      <c r="G143" s="27"/>
      <c r="H143" s="194">
        <f>'Formula Audit'!C218</f>
        <v>0.12767998271058961</v>
      </c>
      <c r="I143" s="194">
        <f>'Formula Audit'!D218</f>
        <v>9.0242808489001777E-2</v>
      </c>
      <c r="J143" s="194">
        <f>'Formula Audit'!E218</f>
        <v>0.11749594305307755</v>
      </c>
      <c r="K143" s="194">
        <f>'Formula Audit'!F218</f>
        <v>0.13903629694648517</v>
      </c>
      <c r="L143" s="194">
        <f>'Formula Audit'!G218</f>
        <v>0.14722480886192696</v>
      </c>
      <c r="M143" s="194">
        <f>'Formula Audit'!H218</f>
        <v>0.16767361433859854</v>
      </c>
      <c r="N143" s="194">
        <f>'Formula Audit'!I218</f>
        <v>0.17446268764780712</v>
      </c>
      <c r="O143" s="194">
        <f>'Formula Audit'!J218</f>
        <v>0.19183845562447838</v>
      </c>
      <c r="P143" s="194">
        <f>'Formula Audit'!K218</f>
        <v>0.19367554201003667</v>
      </c>
      <c r="Q143" s="195">
        <f>'Formula Audit'!L218</f>
        <v>0.19916959500898351</v>
      </c>
    </row>
    <row r="144" spans="1:17" x14ac:dyDescent="0.3">
      <c r="A144" s="64"/>
      <c r="B144" s="396"/>
      <c r="C144" s="216" t="s">
        <v>168</v>
      </c>
      <c r="D144" s="12"/>
      <c r="E144" s="12"/>
      <c r="F144" s="12"/>
      <c r="G144" s="12"/>
      <c r="H144" s="190">
        <f>'Formula Audit'!C219</f>
        <v>9.5456540489772118E-2</v>
      </c>
      <c r="I144" s="190">
        <f>'Formula Audit'!D219</f>
        <v>6.0408875014654966E-2</v>
      </c>
      <c r="J144" s="190">
        <f>'Formula Audit'!E219</f>
        <v>8.8376323092154818E-2</v>
      </c>
      <c r="K144" s="190">
        <f>'Formula Audit'!F219</f>
        <v>0.11098107178706537</v>
      </c>
      <c r="L144" s="190">
        <f>'Formula Audit'!G219</f>
        <v>0.11805345440771164</v>
      </c>
      <c r="M144" s="190">
        <f>'Formula Audit'!H219</f>
        <v>0.13643879049562113</v>
      </c>
      <c r="N144" s="190">
        <f>'Formula Audit'!I219</f>
        <v>0.144563123758599</v>
      </c>
      <c r="O144" s="190">
        <f>'Formula Audit'!J219</f>
        <v>0.16528947041075709</v>
      </c>
      <c r="P144" s="190">
        <f>'Formula Audit'!K219</f>
        <v>0.17085549100563568</v>
      </c>
      <c r="Q144" s="191">
        <f>'Formula Audit'!L219</f>
        <v>0.18022055142712062</v>
      </c>
    </row>
    <row r="145" spans="1:17" x14ac:dyDescent="0.3">
      <c r="A145" s="64"/>
      <c r="B145" s="396"/>
      <c r="C145" s="92"/>
      <c r="D145" s="92"/>
      <c r="E145" s="92"/>
      <c r="F145" s="9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x14ac:dyDescent="0.3">
      <c r="A146" s="64"/>
      <c r="B146" s="55"/>
      <c r="C146" s="55" t="s">
        <v>196</v>
      </c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</row>
    <row r="147" spans="1:17" x14ac:dyDescent="0.3">
      <c r="A147" s="64"/>
      <c r="B147" s="396"/>
      <c r="C147" s="216" t="s">
        <v>180</v>
      </c>
      <c r="D147" s="12"/>
      <c r="E147" s="12"/>
      <c r="F147" s="12"/>
      <c r="G147" s="12"/>
      <c r="H147" s="192" t="str">
        <f>'Formula Audit'!C222</f>
        <v/>
      </c>
      <c r="I147" s="192">
        <f>'Formula Audit'!D222</f>
        <v>4.2386077059711615</v>
      </c>
      <c r="J147" s="192">
        <f>'Formula Audit'!E222</f>
        <v>4.5744264331731754</v>
      </c>
      <c r="K147" s="192">
        <f>'Formula Audit'!F222</f>
        <v>5.1049565601814955</v>
      </c>
      <c r="L147" s="192">
        <f>'Formula Audit'!G222</f>
        <v>5.6282486349274556</v>
      </c>
      <c r="M147" s="192">
        <f>'Formula Audit'!H222</f>
        <v>6.6748948478958265</v>
      </c>
      <c r="N147" s="192">
        <f>'Formula Audit'!I222</f>
        <v>7.4623415121546079</v>
      </c>
      <c r="O147" s="192">
        <f>'Formula Audit'!J222</f>
        <v>8.5701335737049096</v>
      </c>
      <c r="P147" s="192">
        <f>'Formula Audit'!K222</f>
        <v>9.5560509622805636</v>
      </c>
      <c r="Q147" s="193">
        <f>'Formula Audit'!L222</f>
        <v>10.644981584673257</v>
      </c>
    </row>
    <row r="148" spans="1:17" x14ac:dyDescent="0.3">
      <c r="A148" s="64"/>
      <c r="B148" s="396"/>
      <c r="C148" s="216" t="s">
        <v>181</v>
      </c>
      <c r="D148" s="12"/>
      <c r="E148" s="12"/>
      <c r="F148" s="12"/>
      <c r="G148" s="12"/>
      <c r="H148" s="192" t="str">
        <f>'Formula Audit'!C223</f>
        <v/>
      </c>
      <c r="I148" s="192">
        <f>'Formula Audit'!D223</f>
        <v>3.4417297134193241</v>
      </c>
      <c r="J148" s="192">
        <f>'Formula Audit'!E223</f>
        <v>3.7871032652103698</v>
      </c>
      <c r="K148" s="192">
        <f>'Formula Audit'!F223</f>
        <v>4.2691145046890604</v>
      </c>
      <c r="L148" s="192">
        <f>'Formula Audit'!G223</f>
        <v>4.7947963378001619</v>
      </c>
      <c r="M148" s="192">
        <f>'Formula Audit'!H223</f>
        <v>5.8027268903879952</v>
      </c>
      <c r="N148" s="192">
        <f>'Formula Audit'!I223</f>
        <v>6.5287532759490423</v>
      </c>
      <c r="O148" s="192">
        <f>'Formula Audit'!J223</f>
        <v>7.6513798609132602</v>
      </c>
      <c r="P148" s="192">
        <f>'Formula Audit'!K223</f>
        <v>8.5768529262789368</v>
      </c>
      <c r="Q148" s="193">
        <f>'Formula Audit'!L223</f>
        <v>9.6697565119681173</v>
      </c>
    </row>
    <row r="149" spans="1:17" x14ac:dyDescent="0.3">
      <c r="A149" s="64"/>
      <c r="B149" s="398"/>
      <c r="C149" s="220" t="s">
        <v>197</v>
      </c>
      <c r="D149" s="27"/>
      <c r="E149" s="27"/>
      <c r="F149" s="27"/>
      <c r="G149" s="27"/>
      <c r="H149" s="196" t="str">
        <f>'Formula Audit'!C224</f>
        <v/>
      </c>
      <c r="I149" s="196">
        <f>'Formula Audit'!D224</f>
        <v>5.5587244358476819E-2</v>
      </c>
      <c r="J149" s="196">
        <f>'Formula Audit'!E224</f>
        <v>0.77127040472182018</v>
      </c>
      <c r="K149" s="196">
        <f>'Formula Audit'!F224</f>
        <v>0.90402845028518741</v>
      </c>
      <c r="L149" s="196">
        <f>'Formula Audit'!G224</f>
        <v>1.0355716058861639</v>
      </c>
      <c r="M149" s="196">
        <f>'Formula Audit'!H224</f>
        <v>1.3543054856582084</v>
      </c>
      <c r="N149" s="196">
        <f>'Formula Audit'!I224</f>
        <v>1.304305106548038</v>
      </c>
      <c r="O149" s="196">
        <f>'Formula Audit'!J224</f>
        <v>1.5593658925477092</v>
      </c>
      <c r="P149" s="196">
        <f>'Formula Audit'!K224</f>
        <v>1.5071622149991029</v>
      </c>
      <c r="Q149" s="197">
        <f>'Formula Audit'!L224</f>
        <v>1.6305931407892642</v>
      </c>
    </row>
    <row r="150" spans="1:17" x14ac:dyDescent="0.3">
      <c r="A150" s="64"/>
      <c r="B150" s="396"/>
      <c r="C150" s="92"/>
      <c r="D150" s="92"/>
      <c r="E150" s="92"/>
      <c r="F150" s="9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x14ac:dyDescent="0.3">
      <c r="A151" s="64"/>
      <c r="B151" s="55"/>
      <c r="C151" s="55" t="s">
        <v>198</v>
      </c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</row>
    <row r="152" spans="1:17" x14ac:dyDescent="0.3">
      <c r="A152" s="64"/>
      <c r="B152" s="396"/>
      <c r="C152" s="216" t="s">
        <v>199</v>
      </c>
      <c r="D152" s="12"/>
      <c r="E152" s="12"/>
      <c r="F152" s="12"/>
      <c r="G152" s="12"/>
      <c r="H152" s="305">
        <f>'Formula Audit'!C227</f>
        <v>0</v>
      </c>
      <c r="I152" s="305">
        <f>'Formula Audit'!D227</f>
        <v>37</v>
      </c>
      <c r="J152" s="305">
        <f>'Formula Audit'!E227</f>
        <v>37</v>
      </c>
      <c r="K152" s="305">
        <f>'Formula Audit'!F227</f>
        <v>37</v>
      </c>
      <c r="L152" s="305">
        <f>'Formula Audit'!G227</f>
        <v>36.999999999999993</v>
      </c>
      <c r="M152" s="305">
        <f>'Formula Audit'!H227</f>
        <v>32</v>
      </c>
      <c r="N152" s="305">
        <f>'Formula Audit'!I227</f>
        <v>31.999999999999996</v>
      </c>
      <c r="O152" s="305">
        <f>'Formula Audit'!J227</f>
        <v>31.999999999999996</v>
      </c>
      <c r="P152" s="305">
        <f>'Formula Audit'!K227</f>
        <v>32</v>
      </c>
      <c r="Q152" s="262">
        <f>'Formula Audit'!L227</f>
        <v>32</v>
      </c>
    </row>
    <row r="153" spans="1:17" x14ac:dyDescent="0.3">
      <c r="A153" s="64"/>
      <c r="B153" s="396"/>
      <c r="C153" s="216" t="s">
        <v>200</v>
      </c>
      <c r="D153" s="12"/>
      <c r="E153" s="12"/>
      <c r="F153" s="12"/>
      <c r="G153" s="12"/>
      <c r="H153" s="305">
        <f>'Formula Audit'!C228</f>
        <v>0</v>
      </c>
      <c r="I153" s="305">
        <f>'Formula Audit'!D228</f>
        <v>52.999999999999993</v>
      </c>
      <c r="J153" s="305">
        <f>'Formula Audit'!E228</f>
        <v>52.999999999999993</v>
      </c>
      <c r="K153" s="305">
        <f>'Formula Audit'!F228</f>
        <v>53.000000000000007</v>
      </c>
      <c r="L153" s="305">
        <f>'Formula Audit'!G228</f>
        <v>53.000000000000007</v>
      </c>
      <c r="M153" s="305">
        <f>'Formula Audit'!H228</f>
        <v>48.000000000000007</v>
      </c>
      <c r="N153" s="305">
        <f>'Formula Audit'!I228</f>
        <v>48.000000000000007</v>
      </c>
      <c r="O153" s="305">
        <f>'Formula Audit'!J228</f>
        <v>48.000000000000007</v>
      </c>
      <c r="P153" s="305">
        <f>'Formula Audit'!K228</f>
        <v>48.000000000000007</v>
      </c>
      <c r="Q153" s="262">
        <f>'Formula Audit'!L228</f>
        <v>48.000000000000007</v>
      </c>
    </row>
    <row r="154" spans="1:17" x14ac:dyDescent="0.3">
      <c r="A154" s="64"/>
      <c r="B154" s="396"/>
      <c r="C154" s="216" t="s">
        <v>201</v>
      </c>
      <c r="D154" s="12"/>
      <c r="E154" s="12"/>
      <c r="F154" s="12"/>
      <c r="G154" s="12"/>
      <c r="H154" s="305">
        <f>'Formula Audit'!C229</f>
        <v>0</v>
      </c>
      <c r="I154" s="305">
        <f>'Formula Audit'!D229</f>
        <v>65.999999999999986</v>
      </c>
      <c r="J154" s="305">
        <f>'Formula Audit'!E229</f>
        <v>66</v>
      </c>
      <c r="K154" s="305">
        <f>'Formula Audit'!F229</f>
        <v>71</v>
      </c>
      <c r="L154" s="305">
        <f>'Formula Audit'!G229</f>
        <v>70.999999999999986</v>
      </c>
      <c r="M154" s="305">
        <f>'Formula Audit'!H229</f>
        <v>70.999999999999986</v>
      </c>
      <c r="N154" s="305">
        <f>'Formula Audit'!I229</f>
        <v>75.999999999999986</v>
      </c>
      <c r="O154" s="305">
        <f>'Formula Audit'!J229</f>
        <v>75.999999999999986</v>
      </c>
      <c r="P154" s="305">
        <f>'Formula Audit'!K229</f>
        <v>81.000000000000014</v>
      </c>
      <c r="Q154" s="262">
        <f>'Formula Audit'!L229</f>
        <v>81</v>
      </c>
    </row>
    <row r="155" spans="1:17" x14ac:dyDescent="0.3">
      <c r="A155" s="64"/>
      <c r="B155" s="396"/>
      <c r="C155" s="216" t="s">
        <v>202</v>
      </c>
      <c r="D155" s="12"/>
      <c r="E155" s="12"/>
      <c r="F155" s="12"/>
      <c r="G155" s="12"/>
      <c r="H155" s="305">
        <f>'Formula Audit'!C230</f>
        <v>0</v>
      </c>
      <c r="I155" s="305">
        <f>'Formula Audit'!D230</f>
        <v>49.999999999999993</v>
      </c>
      <c r="J155" s="305">
        <f>'Formula Audit'!E230</f>
        <v>50.000000000000007</v>
      </c>
      <c r="K155" s="305">
        <f>'Formula Audit'!F230</f>
        <v>54.999999999999993</v>
      </c>
      <c r="L155" s="305">
        <f>'Formula Audit'!G230</f>
        <v>54.999999999999964</v>
      </c>
      <c r="M155" s="305">
        <f>'Formula Audit'!H230</f>
        <v>54.999999999999979</v>
      </c>
      <c r="N155" s="305">
        <f>'Formula Audit'!I230</f>
        <v>59.999999999999979</v>
      </c>
      <c r="O155" s="305">
        <f>'Formula Audit'!J230</f>
        <v>59.999999999999979</v>
      </c>
      <c r="P155" s="305">
        <f>'Formula Audit'!K230</f>
        <v>65</v>
      </c>
      <c r="Q155" s="262">
        <f>'Formula Audit'!L230</f>
        <v>65</v>
      </c>
    </row>
    <row r="156" spans="1:17" x14ac:dyDescent="0.3">
      <c r="A156" s="64"/>
      <c r="B156" s="396"/>
      <c r="C156" s="92"/>
      <c r="D156" s="92"/>
      <c r="E156" s="92"/>
      <c r="F156" s="9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x14ac:dyDescent="0.3">
      <c r="A157" s="64"/>
      <c r="B157" s="55"/>
      <c r="C157" s="55" t="s">
        <v>203</v>
      </c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</row>
    <row r="158" spans="1:17" x14ac:dyDescent="0.3">
      <c r="A158" s="64"/>
      <c r="B158" s="396"/>
      <c r="C158" s="216" t="s">
        <v>204</v>
      </c>
      <c r="D158" s="12"/>
      <c r="E158" s="12"/>
      <c r="F158" s="12"/>
      <c r="G158" s="12"/>
      <c r="H158" s="190">
        <f>'Formula Audit'!C233</f>
        <v>0.52103882842407023</v>
      </c>
      <c r="I158" s="190">
        <f>'Formula Audit'!D233</f>
        <v>0.40589657984357824</v>
      </c>
      <c r="J158" s="190">
        <f>'Formula Audit'!E233</f>
        <v>0.29948687712039335</v>
      </c>
      <c r="K158" s="190">
        <f>'Formula Audit'!F233</f>
        <v>0.21604717371529478</v>
      </c>
      <c r="L158" s="190">
        <f>'Formula Audit'!G233</f>
        <v>0.15754505771595229</v>
      </c>
      <c r="M158" s="190">
        <f>'Formula Audit'!H233</f>
        <v>0.11341528355936195</v>
      </c>
      <c r="N158" s="190">
        <f>'Formula Audit'!I233</f>
        <v>8.1458453430354266E-2</v>
      </c>
      <c r="O158" s="190">
        <f>'Formula Audit'!J233</f>
        <v>5.6983261276485418E-2</v>
      </c>
      <c r="P158" s="190">
        <f>'Formula Audit'!K233</f>
        <v>3.8865951388679439E-2</v>
      </c>
      <c r="Q158" s="191">
        <f>'Formula Audit'!L233</f>
        <v>2.5026931974432277E-2</v>
      </c>
    </row>
    <row r="159" spans="1:17" x14ac:dyDescent="0.3">
      <c r="A159" s="64"/>
      <c r="B159" s="396"/>
      <c r="C159" s="216" t="s">
        <v>205</v>
      </c>
      <c r="D159" s="12"/>
      <c r="E159" s="12"/>
      <c r="F159" s="12"/>
      <c r="G159" s="12"/>
      <c r="H159" s="190">
        <f>'Formula Audit'!C234</f>
        <v>0.65744541251197908</v>
      </c>
      <c r="I159" s="190">
        <f>'Formula Audit'!D234</f>
        <v>0.55117011503413249</v>
      </c>
      <c r="J159" s="190">
        <f>'Formula Audit'!E234</f>
        <v>0.60881685621391757</v>
      </c>
      <c r="K159" s="190">
        <f>'Formula Audit'!F234</f>
        <v>0.66786963788879627</v>
      </c>
      <c r="L159" s="190">
        <f>'Formula Audit'!G234</f>
        <v>0.71671964939460564</v>
      </c>
      <c r="M159" s="190">
        <f>'Formula Audit'!H234</f>
        <v>0.76929894600300874</v>
      </c>
      <c r="N159" s="190">
        <f>'Formula Audit'!I234</f>
        <v>0.8053978941462917</v>
      </c>
      <c r="O159" s="190">
        <f>'Formula Audit'!J234</f>
        <v>0.83901895936814208</v>
      </c>
      <c r="P159" s="190">
        <f>'Formula Audit'!K234</f>
        <v>0.86423315755669772</v>
      </c>
      <c r="Q159" s="191">
        <f>'Formula Audit'!L234</f>
        <v>0.88558276301381178</v>
      </c>
    </row>
    <row r="160" spans="1:17" x14ac:dyDescent="0.3">
      <c r="A160" s="64"/>
      <c r="B160" s="398"/>
      <c r="C160" s="220" t="s">
        <v>206</v>
      </c>
      <c r="D160" s="27"/>
      <c r="E160" s="27"/>
      <c r="F160" s="27"/>
      <c r="G160" s="27"/>
      <c r="H160" s="194">
        <f>'Formula Audit'!C235</f>
        <v>0.34255458748802114</v>
      </c>
      <c r="I160" s="194">
        <f>'Formula Audit'!D235</f>
        <v>0.22371806460434596</v>
      </c>
      <c r="J160" s="194">
        <f>'Formula Audit'!E235</f>
        <v>0.1823326590057617</v>
      </c>
      <c r="K160" s="194">
        <f>'Formula Audit'!F235</f>
        <v>0.1442913476761318</v>
      </c>
      <c r="L160" s="194">
        <f>'Formula Audit'!G235</f>
        <v>0.11291563853003024</v>
      </c>
      <c r="M160" s="194">
        <f>'Formula Audit'!H235</f>
        <v>8.7250258102849518E-2</v>
      </c>
      <c r="N160" s="194">
        <f>'Formula Audit'!I235</f>
        <v>6.5606466853221093E-2</v>
      </c>
      <c r="O160" s="194">
        <f>'Formula Audit'!J235</f>
        <v>4.7810036577599739E-2</v>
      </c>
      <c r="P160" s="194">
        <f>'Formula Audit'!K235</f>
        <v>3.3589243890083553E-2</v>
      </c>
      <c r="Q160" s="54">
        <f>'Formula Audit'!L235</f>
        <v>2.2163419567676448E-2</v>
      </c>
    </row>
    <row r="161" spans="1:17" x14ac:dyDescent="0.3">
      <c r="A161" s="64"/>
      <c r="B161" s="396"/>
      <c r="C161" s="11"/>
      <c r="D161" s="11"/>
      <c r="E161" s="11"/>
      <c r="F161" s="11"/>
      <c r="G161" s="11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</row>
    <row r="162" spans="1:17" x14ac:dyDescent="0.3">
      <c r="A162" s="64"/>
      <c r="B162" s="396"/>
      <c r="C162" s="396"/>
      <c r="D162" s="396"/>
      <c r="E162" s="213" t="s">
        <v>175</v>
      </c>
      <c r="F162" s="208">
        <v>2025</v>
      </c>
      <c r="G162" s="396"/>
      <c r="H162" s="396"/>
      <c r="I162" s="396"/>
      <c r="J162" s="396"/>
      <c r="K162" s="396"/>
      <c r="L162" s="396"/>
      <c r="M162" s="396"/>
      <c r="N162" s="396"/>
      <c r="O162" s="396"/>
      <c r="P162" s="396"/>
      <c r="Q162" s="396"/>
    </row>
    <row r="163" spans="1:17" x14ac:dyDescent="0.3">
      <c r="A163" s="64"/>
      <c r="B163" s="55"/>
      <c r="C163" s="55" t="s">
        <v>192</v>
      </c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</row>
    <row r="164" spans="1:17" x14ac:dyDescent="0.3">
      <c r="A164" s="64"/>
      <c r="B164" s="396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</row>
    <row r="165" spans="1:17" x14ac:dyDescent="0.3">
      <c r="A165" s="64"/>
      <c r="B165" s="396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</row>
    <row r="166" spans="1:17" x14ac:dyDescent="0.3">
      <c r="A166" s="64"/>
      <c r="B166" s="396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</row>
    <row r="167" spans="1:17" x14ac:dyDescent="0.3">
      <c r="A167" s="64"/>
      <c r="B167" s="396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</row>
    <row r="168" spans="1:17" x14ac:dyDescent="0.3">
      <c r="A168" s="64"/>
      <c r="B168" s="396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</row>
    <row r="169" spans="1:17" x14ac:dyDescent="0.3">
      <c r="A169" s="64"/>
      <c r="B169" s="396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</row>
    <row r="170" spans="1:17" x14ac:dyDescent="0.3">
      <c r="A170" s="64"/>
      <c r="B170" s="396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</row>
    <row r="171" spans="1:17" x14ac:dyDescent="0.3">
      <c r="A171" s="64"/>
      <c r="B171" s="396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</row>
    <row r="172" spans="1:17" x14ac:dyDescent="0.3">
      <c r="A172" s="64"/>
      <c r="B172" s="396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</row>
    <row r="173" spans="1:17" x14ac:dyDescent="0.3">
      <c r="A173" s="64"/>
      <c r="B173" s="396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</row>
    <row r="174" spans="1:17" x14ac:dyDescent="0.3">
      <c r="A174" s="64"/>
      <c r="B174" s="396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</row>
    <row r="175" spans="1:17" x14ac:dyDescent="0.3">
      <c r="A175" s="64"/>
      <c r="B175" s="55"/>
      <c r="C175" s="55" t="s">
        <v>196</v>
      </c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</row>
    <row r="176" spans="1:17" x14ac:dyDescent="0.3">
      <c r="A176" s="64"/>
      <c r="B176" s="396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</row>
    <row r="177" spans="1:17" x14ac:dyDescent="0.3">
      <c r="A177" s="64"/>
      <c r="B177" s="396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</row>
    <row r="178" spans="1:17" x14ac:dyDescent="0.3">
      <c r="A178" s="64"/>
      <c r="B178" s="396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</row>
    <row r="179" spans="1:17" x14ac:dyDescent="0.3">
      <c r="A179" s="64"/>
      <c r="B179" s="396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</row>
    <row r="180" spans="1:17" x14ac:dyDescent="0.3">
      <c r="A180" s="64"/>
      <c r="B180" s="396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</row>
    <row r="181" spans="1:17" x14ac:dyDescent="0.3">
      <c r="A181" s="64"/>
      <c r="B181" s="396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</row>
    <row r="182" spans="1:17" x14ac:dyDescent="0.3">
      <c r="A182" s="64"/>
      <c r="B182" s="396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</row>
    <row r="183" spans="1:17" x14ac:dyDescent="0.3">
      <c r="A183" s="64"/>
      <c r="B183" s="396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</row>
    <row r="184" spans="1:17" x14ac:dyDescent="0.3">
      <c r="A184" s="64"/>
      <c r="B184" s="396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</row>
    <row r="185" spans="1:17" x14ac:dyDescent="0.3">
      <c r="A185" s="64"/>
      <c r="B185" s="396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</row>
    <row r="186" spans="1:17" x14ac:dyDescent="0.3">
      <c r="A186" s="64"/>
      <c r="B186" s="396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</row>
    <row r="187" spans="1:17" x14ac:dyDescent="0.3">
      <c r="A187" s="64"/>
      <c r="B187" s="55"/>
      <c r="C187" s="55" t="s">
        <v>196</v>
      </c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</row>
    <row r="188" spans="1:17" x14ac:dyDescent="0.3">
      <c r="A188" s="64"/>
      <c r="B188" s="396"/>
      <c r="C188" s="396"/>
      <c r="D188" s="396"/>
      <c r="E188" s="396"/>
      <c r="F188" s="396"/>
      <c r="G188" s="396"/>
      <c r="H188" s="396"/>
      <c r="I188" s="396"/>
      <c r="J188" s="396"/>
      <c r="K188" s="396"/>
      <c r="L188" s="396"/>
      <c r="M188" s="396"/>
      <c r="N188" s="396"/>
      <c r="O188" s="396"/>
      <c r="P188" s="396"/>
      <c r="Q188" s="396"/>
    </row>
    <row r="189" spans="1:17" x14ac:dyDescent="0.3">
      <c r="A189" s="64"/>
      <c r="B189" s="396"/>
      <c r="C189" s="396"/>
      <c r="D189" s="396"/>
      <c r="E189" s="39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</row>
    <row r="190" spans="1:17" x14ac:dyDescent="0.3">
      <c r="A190" s="64"/>
      <c r="B190" s="396"/>
      <c r="C190" s="396"/>
      <c r="D190" s="396"/>
      <c r="E190" s="39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</row>
    <row r="191" spans="1:17" x14ac:dyDescent="0.3">
      <c r="A191" s="64"/>
      <c r="B191" s="396"/>
      <c r="C191" s="396"/>
      <c r="D191" s="396"/>
      <c r="E191" s="396"/>
      <c r="F191" s="396"/>
      <c r="G191" s="396"/>
      <c r="H191" s="396"/>
      <c r="I191" s="396"/>
      <c r="J191" s="396"/>
      <c r="K191" s="396"/>
      <c r="L191" s="396"/>
      <c r="M191" s="396"/>
      <c r="N191" s="396"/>
      <c r="O191" s="396"/>
      <c r="P191" s="396"/>
      <c r="Q191" s="396"/>
    </row>
    <row r="192" spans="1:17" x14ac:dyDescent="0.3">
      <c r="A192" s="64"/>
      <c r="B192" s="396"/>
      <c r="C192" s="396"/>
      <c r="D192" s="396"/>
      <c r="E192" s="396"/>
      <c r="F192" s="396"/>
      <c r="G192" s="396"/>
      <c r="H192" s="396"/>
      <c r="I192" s="396"/>
      <c r="J192" s="396"/>
      <c r="K192" s="396"/>
      <c r="L192" s="396"/>
      <c r="M192" s="396"/>
      <c r="N192" s="396"/>
      <c r="O192" s="396"/>
      <c r="P192" s="396"/>
      <c r="Q192" s="396"/>
    </row>
    <row r="193" spans="1:17" x14ac:dyDescent="0.3">
      <c r="A193" s="64"/>
      <c r="B193" s="396"/>
      <c r="C193" s="396"/>
      <c r="D193" s="396"/>
      <c r="E193" s="396"/>
      <c r="F193" s="396"/>
      <c r="G193" s="396"/>
      <c r="H193" s="396"/>
      <c r="I193" s="396"/>
      <c r="J193" s="396"/>
      <c r="K193" s="396"/>
      <c r="L193" s="396"/>
      <c r="M193" s="396"/>
      <c r="N193" s="396"/>
      <c r="O193" s="396"/>
      <c r="P193" s="396"/>
      <c r="Q193" s="396"/>
    </row>
    <row r="194" spans="1:17" x14ac:dyDescent="0.3">
      <c r="A194" s="64"/>
      <c r="B194" s="396"/>
      <c r="C194" s="396"/>
      <c r="D194" s="396"/>
      <c r="E194" s="396"/>
      <c r="F194" s="396"/>
      <c r="G194" s="396"/>
      <c r="H194" s="396"/>
      <c r="I194" s="396"/>
      <c r="J194" s="396"/>
      <c r="K194" s="396"/>
      <c r="L194" s="396"/>
      <c r="M194" s="396"/>
      <c r="N194" s="396"/>
      <c r="O194" s="396"/>
      <c r="P194" s="396"/>
      <c r="Q194" s="396"/>
    </row>
    <row r="195" spans="1:17" x14ac:dyDescent="0.3">
      <c r="A195" s="64"/>
      <c r="B195" s="396"/>
      <c r="C195" s="396"/>
      <c r="D195" s="396"/>
      <c r="E195" s="39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</row>
    <row r="196" spans="1:17" x14ac:dyDescent="0.3">
      <c r="A196" s="64"/>
      <c r="B196" s="396"/>
      <c r="C196" s="396"/>
      <c r="D196" s="396"/>
      <c r="E196" s="39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</row>
    <row r="197" spans="1:17" x14ac:dyDescent="0.3">
      <c r="A197" s="64"/>
      <c r="B197" s="396"/>
      <c r="C197" s="396"/>
      <c r="D197" s="396"/>
      <c r="E197" s="396"/>
      <c r="F197" s="396"/>
      <c r="G197" s="396"/>
      <c r="H197" s="396"/>
      <c r="I197" s="396"/>
      <c r="J197" s="396"/>
      <c r="K197" s="396"/>
      <c r="L197" s="396"/>
      <c r="M197" s="396"/>
      <c r="N197" s="396"/>
      <c r="O197" s="396"/>
      <c r="P197" s="396"/>
      <c r="Q197" s="396"/>
    </row>
    <row r="198" spans="1:17" x14ac:dyDescent="0.3">
      <c r="A198" s="64"/>
      <c r="B198" s="396"/>
      <c r="C198" s="396"/>
      <c r="D198" s="396"/>
      <c r="E198" s="396"/>
      <c r="F198" s="396"/>
      <c r="G198" s="396"/>
      <c r="H198" s="396"/>
      <c r="I198" s="396"/>
      <c r="J198" s="396"/>
      <c r="K198" s="396"/>
      <c r="L198" s="396"/>
      <c r="M198" s="396"/>
      <c r="N198" s="396"/>
      <c r="O198" s="396"/>
      <c r="P198" s="396"/>
      <c r="Q198" s="396"/>
    </row>
    <row r="199" spans="1:17" x14ac:dyDescent="0.3">
      <c r="A199" s="64"/>
      <c r="B199" s="396"/>
      <c r="C199" s="396"/>
      <c r="D199" s="396"/>
      <c r="E199" s="396"/>
      <c r="F199" s="396"/>
      <c r="G199" s="396"/>
      <c r="H199" s="396"/>
      <c r="I199" s="396"/>
      <c r="J199" s="396"/>
      <c r="K199" s="396"/>
      <c r="L199" s="396"/>
      <c r="M199" s="396"/>
      <c r="N199" s="396"/>
      <c r="O199" s="396"/>
      <c r="P199" s="396"/>
      <c r="Q199" s="396"/>
    </row>
    <row r="200" spans="1:17" x14ac:dyDescent="0.3">
      <c r="A200" s="64"/>
      <c r="B200" s="396"/>
      <c r="C200" s="396"/>
      <c r="D200" s="396"/>
      <c r="E200" s="396"/>
      <c r="F200" s="396"/>
      <c r="G200" s="396"/>
      <c r="H200" s="396"/>
      <c r="I200" s="396"/>
      <c r="J200" s="396"/>
      <c r="K200" s="396"/>
      <c r="L200" s="396"/>
      <c r="M200" s="396"/>
      <c r="N200" s="396"/>
      <c r="O200" s="396"/>
      <c r="P200" s="396"/>
      <c r="Q200" s="396"/>
    </row>
    <row r="201" spans="1:17" x14ac:dyDescent="0.3">
      <c r="A201" s="64"/>
      <c r="B201" s="396"/>
      <c r="C201" s="396"/>
      <c r="D201" s="396"/>
      <c r="E201" s="396"/>
      <c r="F201" s="396"/>
      <c r="G201" s="396"/>
      <c r="H201" s="396"/>
      <c r="I201" s="396"/>
      <c r="J201" s="396"/>
      <c r="K201" s="396"/>
      <c r="L201" s="396"/>
      <c r="M201" s="396"/>
      <c r="N201" s="396"/>
      <c r="O201" s="396"/>
      <c r="P201" s="396"/>
      <c r="Q201" s="396"/>
    </row>
    <row r="202" spans="1:17" x14ac:dyDescent="0.3">
      <c r="A202" s="64"/>
      <c r="B202" s="55"/>
      <c r="C202" s="55" t="s">
        <v>203</v>
      </c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</row>
  </sheetData>
  <mergeCells count="22">
    <mergeCell ref="F95:I95"/>
    <mergeCell ref="B91:N91"/>
    <mergeCell ref="B132:Q132"/>
    <mergeCell ref="N33:O33"/>
    <mergeCell ref="N34:O34"/>
    <mergeCell ref="N35:O35"/>
    <mergeCell ref="N36:O36"/>
    <mergeCell ref="N38:O38"/>
    <mergeCell ref="F33:H33"/>
    <mergeCell ref="F34:H34"/>
    <mergeCell ref="F35:H35"/>
    <mergeCell ref="F36:H36"/>
    <mergeCell ref="B2:N2"/>
    <mergeCell ref="B27:O27"/>
    <mergeCell ref="N40:O40"/>
    <mergeCell ref="N41:O41"/>
    <mergeCell ref="F39:H39"/>
    <mergeCell ref="F40:H40"/>
    <mergeCell ref="F41:H41"/>
    <mergeCell ref="N39:O39"/>
    <mergeCell ref="F38:H38"/>
    <mergeCell ref="J36:J37"/>
  </mergeCells>
  <conditionalFormatting sqref="D35">
    <cfRule type="expression" dxfId="26" priority="25">
      <formula>$D$10&lt;0</formula>
    </cfRule>
  </conditionalFormatting>
  <conditionalFormatting sqref="D40">
    <cfRule type="expression" dxfId="25" priority="21">
      <formula>$D$15&lt;0</formula>
    </cfRule>
  </conditionalFormatting>
  <conditionalFormatting sqref="D35:I35 L35:O35 D40:H40 L40:O40">
    <cfRule type="cellIs" dxfId="24" priority="16" operator="lessThan">
      <formula>0</formula>
    </cfRule>
  </conditionalFormatting>
  <conditionalFormatting sqref="F35">
    <cfRule type="expression" dxfId="23" priority="24">
      <formula>$F$10&lt;0</formula>
    </cfRule>
  </conditionalFormatting>
  <conditionalFormatting sqref="F40">
    <cfRule type="expression" dxfId="22" priority="20">
      <formula>$F$15&lt;0</formula>
    </cfRule>
  </conditionalFormatting>
  <conditionalFormatting sqref="F102">
    <cfRule type="expression" dxfId="21" priority="12">
      <formula>$F$13&lt;0</formula>
    </cfRule>
  </conditionalFormatting>
  <conditionalFormatting sqref="F112">
    <cfRule type="expression" dxfId="20" priority="8">
      <formula>$F$23&lt;0</formula>
    </cfRule>
  </conditionalFormatting>
  <conditionalFormatting sqref="F119">
    <cfRule type="expression" dxfId="19" priority="4">
      <formula>$F$30&lt;0</formula>
    </cfRule>
  </conditionalFormatting>
  <conditionalFormatting sqref="G102">
    <cfRule type="expression" dxfId="18" priority="11">
      <formula>$G$13&lt;0</formula>
    </cfRule>
  </conditionalFormatting>
  <conditionalFormatting sqref="G112">
    <cfRule type="expression" dxfId="17" priority="7">
      <formula>$G$23&lt;0</formula>
    </cfRule>
  </conditionalFormatting>
  <conditionalFormatting sqref="G119">
    <cfRule type="expression" dxfId="16" priority="3">
      <formula>$G$30&lt;0</formula>
    </cfRule>
  </conditionalFormatting>
  <conditionalFormatting sqref="I97:I11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{5C4BFDA7-C35D-4DA0-A6D0-832B9D2535B3}</x14:id>
        </ext>
      </extLst>
    </cfRule>
  </conditionalFormatting>
  <conditionalFormatting sqref="J38">
    <cfRule type="cellIs" dxfId="15" priority="15" operator="lessThan">
      <formula>0</formula>
    </cfRule>
    <cfRule type="expression" dxfId="14" priority="17">
      <formula>$J$13&lt;0</formula>
    </cfRule>
  </conditionalFormatting>
  <conditionalFormatting sqref="K102">
    <cfRule type="expression" dxfId="13" priority="10">
      <formula>$K$13&lt;0</formula>
    </cfRule>
  </conditionalFormatting>
  <conditionalFormatting sqref="K112">
    <cfRule type="expression" dxfId="12" priority="6">
      <formula>$K$23&lt;0</formula>
    </cfRule>
  </conditionalFormatting>
  <conditionalFormatting sqref="K119">
    <cfRule type="expression" dxfId="11" priority="2">
      <formula>$K$30&lt;0</formula>
    </cfRule>
  </conditionalFormatting>
  <conditionalFormatting sqref="L35">
    <cfRule type="expression" dxfId="10" priority="23">
      <formula>$L$10&lt;0</formula>
    </cfRule>
  </conditionalFormatting>
  <conditionalFormatting sqref="L40">
    <cfRule type="expression" dxfId="9" priority="19">
      <formula>$L$15&lt;0</formula>
    </cfRule>
  </conditionalFormatting>
  <conditionalFormatting sqref="L102">
    <cfRule type="expression" dxfId="8" priority="9">
      <formula>$L$13&lt;0</formula>
    </cfRule>
  </conditionalFormatting>
  <conditionalFormatting sqref="L112">
    <cfRule type="expression" dxfId="7" priority="5">
      <formula>$L$23&lt;0</formula>
    </cfRule>
  </conditionalFormatting>
  <conditionalFormatting sqref="L119">
    <cfRule type="expression" dxfId="6" priority="1">
      <formula>$L$30&lt;0</formula>
    </cfRule>
  </conditionalFormatting>
  <conditionalFormatting sqref="N35">
    <cfRule type="expression" dxfId="5" priority="22">
      <formula>$N$10&lt;0</formula>
    </cfRule>
  </conditionalFormatting>
  <conditionalFormatting sqref="N40">
    <cfRule type="expression" dxfId="4" priority="18">
      <formula>$N$15&lt;0</formula>
    </cfRule>
  </conditionalFormatting>
  <conditionalFormatting sqref="N97:N11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{D36C174C-14F7-47E0-BC8F-B6BEFB2F6A73}</x14:id>
        </ext>
      </extLst>
    </cfRule>
  </conditionalFormatting>
  <dataValidations count="1">
    <dataValidation showInputMessage="1" showErrorMessage="1" sqref="D6 F136" xr:uid="{6A12E9B2-0F86-427C-BCC5-B4867AEBC26E}"/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4BFDA7-C35D-4DA0-A6D0-832B9D253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I97:I119</xm:sqref>
        </x14:conditionalFormatting>
        <x14:conditionalFormatting xmlns:xm="http://schemas.microsoft.com/office/excel/2006/main">
          <x14:cfRule type="dataBar" id="{D36C174C-14F7-47E0-BC8F-B6BEFB2F6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N97:N119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FA9805-0B34-45BF-8818-DF60D074F835}">
          <x14:formula1>
            <xm:f>'Formula Audit'!$C$9:$L$9</xm:f>
          </x14:formula1>
          <xm:sqref>F31 F162</xm:sqref>
        </x14:dataValidation>
        <x14:dataValidation type="list" allowBlank="1" showInputMessage="1" showErrorMessage="1" xr:uid="{15692C63-6DB4-42AF-A263-08523040F9F8}">
          <x14:formula1>
            <xm:f>'Formula Audit'!$C$163:$N$163</xm:f>
          </x14:formula1>
          <xm:sqref>M95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7D13718-815A-44D2-827E-760E4BD43D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Outputs!E9:N9</xm:f>
              <xm:sqref>D9</xm:sqref>
            </x14:sparkline>
          </x14:sparklines>
        </x14:sparklineGroup>
        <x14:sparklineGroup type="column" displayEmptyCellsAs="gap" negative="1" xr2:uid="{7CA09D42-CFFA-4CD3-9E2A-70C356444AA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Audit'!C213:L213</xm:f>
              <xm:sqref>G138</xm:sqref>
            </x14:sparkline>
          </x14:sparklines>
        </x14:sparklineGroup>
        <x14:sparklineGroup type="column" displayEmptyCellsAs="gap" negative="1" xr2:uid="{CFB1BF0C-36C5-4359-A851-FBA7D35115C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Audit'!C215:L215</xm:f>
              <xm:sqref>G140</xm:sqref>
            </x14:sparkline>
          </x14:sparklines>
        </x14:sparklineGroup>
        <x14:sparklineGroup type="column" displayEmptyCellsAs="gap" negative="1" xr2:uid="{664B241D-BA7C-43D9-8F1B-FAE3668783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Audit'!C216:L216</xm:f>
              <xm:sqref>G141</xm:sqref>
            </x14:sparkline>
          </x14:sparklines>
        </x14:sparklineGroup>
        <x14:sparklineGroup type="column" displayEmptyCellsAs="gap" negative="1" xr2:uid="{66E5F327-9564-4092-88DC-8D13EC5680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Audit'!C217:L217</xm:f>
              <xm:sqref>G142</xm:sqref>
            </x14:sparkline>
          </x14:sparklines>
        </x14:sparklineGroup>
        <x14:sparklineGroup type="column" displayEmptyCellsAs="gap" negative="1" xr2:uid="{2EA4B82F-DAD9-4702-A02C-96633EBE65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Audit'!C219:L219</xm:f>
              <xm:sqref>G144</xm:sqref>
            </x14:sparkline>
          </x14:sparklines>
        </x14:sparklineGroup>
        <x14:sparklineGroup type="column" displayEmptyCellsAs="gap" negative="1" xr2:uid="{2E62BFC9-3FB9-410B-8AC6-56CA798AC93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Audit'!C222:L222</xm:f>
              <xm:sqref>G147</xm:sqref>
            </x14:sparkline>
          </x14:sparklines>
        </x14:sparklineGroup>
        <x14:sparklineGroup type="column" displayEmptyCellsAs="gap" negative="1" xr2:uid="{9CD2A61A-19C9-43E9-9658-C51A62E21B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Audit'!C223:L223</xm:f>
              <xm:sqref>G148</xm:sqref>
            </x14:sparkline>
          </x14:sparklines>
        </x14:sparklineGroup>
        <x14:sparklineGroup type="column" displayEmptyCellsAs="gap" negative="1" xr2:uid="{D3D11BDB-5777-4089-93C2-4853EBF9ED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Audit'!C224:L224</xm:f>
              <xm:sqref>G149</xm:sqref>
            </x14:sparkline>
          </x14:sparklines>
        </x14:sparklineGroup>
        <x14:sparklineGroup type="column" displayEmptyCellsAs="gap" negative="1" xr2:uid="{962BA2E7-E323-4481-BB2A-781FF4DC8EA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Audit'!C227:L227</xm:f>
              <xm:sqref>G152</xm:sqref>
            </x14:sparkline>
          </x14:sparklines>
        </x14:sparklineGroup>
        <x14:sparklineGroup type="column" displayEmptyCellsAs="gap" negative="1" xr2:uid="{7FE4A174-5E75-4E19-AD6C-50E377DAEC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Audit'!C228:L228</xm:f>
              <xm:sqref>G153</xm:sqref>
            </x14:sparkline>
          </x14:sparklines>
        </x14:sparklineGroup>
        <x14:sparklineGroup type="column" displayEmptyCellsAs="gap" negative="1" xr2:uid="{8A37884C-3B2A-4F2B-BA01-8497F3F6B2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Audit'!C229:L229</xm:f>
              <xm:sqref>G154</xm:sqref>
            </x14:sparkline>
          </x14:sparklines>
        </x14:sparklineGroup>
        <x14:sparklineGroup type="column" displayEmptyCellsAs="gap" negative="1" xr2:uid="{A46F17DA-DED2-4627-9461-4EA502C668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Audit'!C230:L230</xm:f>
              <xm:sqref>G155</xm:sqref>
            </x14:sparkline>
          </x14:sparklines>
        </x14:sparklineGroup>
        <x14:sparklineGroup type="column" displayEmptyCellsAs="gap" negative="1" xr2:uid="{BBA74FBE-D708-4866-8033-FE0F51465F3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Audit'!C233:L233</xm:f>
              <xm:sqref>G158</xm:sqref>
            </x14:sparkline>
          </x14:sparklines>
        </x14:sparklineGroup>
        <x14:sparklineGroup type="column" displayEmptyCellsAs="gap" negative="1" xr2:uid="{3BF69AEA-CF32-4CA0-AB15-EBE2DF8C99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Audit'!C234:L234</xm:f>
              <xm:sqref>G159</xm:sqref>
            </x14:sparkline>
          </x14:sparklines>
        </x14:sparklineGroup>
        <x14:sparklineGroup type="column" displayEmptyCellsAs="gap" negative="1" xr2:uid="{9FAB4F4C-CCF2-47F0-B5B9-E84279569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Audit'!C235:L235</xm:f>
              <xm:sqref>G160</xm:sqref>
            </x14:sparkline>
          </x14:sparklines>
        </x14:sparklineGroup>
        <x14:sparklineGroup type="column" displayEmptyCellsAs="gap" negative="1" xr2:uid="{7D782045-C20B-4678-9C28-CE2F7BBA28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Audit'!C218:L218</xm:f>
              <xm:sqref>G143</xm:sqref>
            </x14:sparkline>
          </x14:sparklines>
        </x14:sparklineGroup>
        <x14:sparklineGroup type="column" displayEmptyCellsAs="gap" negative="1" xr2:uid="{9ACF4E2B-B269-4DD9-B0EC-A9C6FC5A1B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'Formula Audit'!C214:L214</xm:f>
              <xm:sqref>G139</xm:sqref>
            </x14:sparkline>
          </x14:sparklines>
        </x14:sparklineGroup>
        <x14:sparklineGroup type="column" displayEmptyCellsAs="gap" negative="1" xr2:uid="{36215DF1-3BB1-4E81-BE8D-280F989CB50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Outputs!E10:N10</xm:f>
              <xm:sqref>D10</xm:sqref>
            </x14:sparkline>
          </x14:sparklines>
        </x14:sparklineGroup>
        <x14:sparklineGroup type="column" displayEmptyCellsAs="gap" negative="1" xr2:uid="{8D63FE09-AF20-4979-A5AB-25563E35BD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Outputs!E12:N12</xm:f>
              <xm:sqref>D12</xm:sqref>
            </x14:sparkline>
          </x14:sparklines>
        </x14:sparklineGroup>
        <x14:sparklineGroup type="column" displayEmptyCellsAs="gap" negative="1" xr2:uid="{A0B712D0-B27B-4CAC-B255-660E66871A9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Outputs!E13:N13</xm:f>
              <xm:sqref>D13</xm:sqref>
            </x14:sparkline>
          </x14:sparklines>
        </x14:sparklineGroup>
        <x14:sparklineGroup type="column" displayEmptyCellsAs="gap" negative="1" xr2:uid="{D2C8A419-00C6-4BB2-9949-8803C862947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Outputs!E16:N16</xm:f>
              <xm:sqref>D16</xm:sqref>
            </x14:sparkline>
          </x14:sparklines>
        </x14:sparklineGroup>
        <x14:sparklineGroup type="column" displayEmptyCellsAs="gap" negative="1" xr2:uid="{9E514C10-152E-4EA7-B83E-DA9103C9F55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Outputs!E17:N17</xm:f>
              <xm:sqref>D17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6B35-EDF5-4AF1-9FAC-ADA02A8A4E90}">
  <dimension ref="A1:T88"/>
  <sheetViews>
    <sheetView workbookViewId="0"/>
  </sheetViews>
  <sheetFormatPr defaultRowHeight="14.4" x14ac:dyDescent="0.3"/>
  <cols>
    <col min="1" max="1" width="21.44140625" customWidth="1"/>
    <col min="2" max="2" width="2.44140625" customWidth="1"/>
    <col min="3" max="3" width="13.77734375" customWidth="1"/>
    <col min="4" max="4" width="26.77734375" customWidth="1"/>
    <col min="5" max="5" width="23.21875" customWidth="1"/>
    <col min="6" max="6" width="10.5546875" customWidth="1"/>
    <col min="7" max="20" width="13.77734375" customWidth="1"/>
  </cols>
  <sheetData>
    <row r="1" spans="1:20" x14ac:dyDescent="0.3">
      <c r="A1" s="2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" x14ac:dyDescent="0.3">
      <c r="A2" s="199" t="s">
        <v>38</v>
      </c>
      <c r="B2" s="446" t="str">
        <f>'Control Center'!F6</f>
        <v/>
      </c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</row>
    <row r="3" spans="1:20" x14ac:dyDescent="0.3">
      <c r="A3" s="9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</row>
    <row r="4" spans="1:20" x14ac:dyDescent="0.3">
      <c r="A4" s="9"/>
      <c r="B4" s="55"/>
      <c r="C4" s="55" t="s">
        <v>36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x14ac:dyDescent="0.3">
      <c r="A5" s="9"/>
      <c r="B5" s="385"/>
      <c r="C5" s="212" t="str">
        <f>'Formula Audit'!A3</f>
        <v>Figures in USD</v>
      </c>
      <c r="D5" s="12"/>
      <c r="E5" s="1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3">
      <c r="A6" s="9"/>
      <c r="B6" s="385"/>
      <c r="C6" s="11"/>
      <c r="D6" s="213" t="s">
        <v>50</v>
      </c>
      <c r="E6" s="214" t="str">
        <f>'Control Center'!E25</f>
        <v>Central Case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3">
      <c r="A7" s="9"/>
      <c r="B7" s="389"/>
      <c r="C7" s="224" t="s">
        <v>207</v>
      </c>
      <c r="D7" s="47"/>
      <c r="E7" s="48"/>
      <c r="F7" s="48"/>
      <c r="G7" s="48"/>
      <c r="H7" s="48"/>
      <c r="I7" s="48"/>
      <c r="J7" s="48"/>
      <c r="K7" s="49">
        <f>'Control Center'!F8</f>
        <v>2025</v>
      </c>
      <c r="L7" s="49">
        <f>'Formula Audit'!D9</f>
        <v>2026</v>
      </c>
      <c r="M7" s="49">
        <f>'Formula Audit'!E9</f>
        <v>2027</v>
      </c>
      <c r="N7" s="49">
        <f>'Formula Audit'!F9</f>
        <v>2028</v>
      </c>
      <c r="O7" s="49">
        <f>'Formula Audit'!G9</f>
        <v>2029</v>
      </c>
      <c r="P7" s="49">
        <f>'Formula Audit'!H9</f>
        <v>2030</v>
      </c>
      <c r="Q7" s="49">
        <f>'Formula Audit'!I9</f>
        <v>2031</v>
      </c>
      <c r="R7" s="49">
        <f>'Formula Audit'!J9</f>
        <v>2032</v>
      </c>
      <c r="S7" s="49">
        <f>'Formula Audit'!K9</f>
        <v>2033</v>
      </c>
      <c r="T7" s="49">
        <f>'Formula Audit'!L9</f>
        <v>2034</v>
      </c>
    </row>
    <row r="8" spans="1:20" x14ac:dyDescent="0.3">
      <c r="A8" s="35"/>
      <c r="B8" s="390"/>
      <c r="C8" s="3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x14ac:dyDescent="0.3">
      <c r="A9" s="9"/>
      <c r="B9" s="385"/>
      <c r="C9" s="12"/>
      <c r="D9" s="216" t="s">
        <v>208</v>
      </c>
      <c r="E9" s="12"/>
      <c r="F9" s="12"/>
      <c r="G9" s="12"/>
      <c r="H9" s="12"/>
      <c r="I9" s="12"/>
      <c r="J9" s="12"/>
      <c r="K9" s="510">
        <f>'Forecast Model'!H242</f>
        <v>52202.966689951281</v>
      </c>
      <c r="L9" s="511">
        <f>'Forecast Model'!I242</f>
        <v>35250.265688148749</v>
      </c>
      <c r="M9" s="511">
        <f>'Forecast Model'!J242</f>
        <v>54450.188599226763</v>
      </c>
      <c r="N9" s="511">
        <f>'Forecast Model'!K242</f>
        <v>71432.399516926453</v>
      </c>
      <c r="O9" s="512">
        <f>'Forecast Model'!L242</f>
        <v>78530.743113103061</v>
      </c>
      <c r="P9" s="511">
        <f>'Forecast Model'!M242</f>
        <v>93802.313840498638</v>
      </c>
      <c r="Q9" s="511">
        <f>'Forecast Model'!N242</f>
        <v>101608.1555412491</v>
      </c>
      <c r="R9" s="511">
        <f>'Forecast Model'!O242</f>
        <v>118771.32059007666</v>
      </c>
      <c r="S9" s="511">
        <f>'Forecast Model'!P242</f>
        <v>125513.57255099407</v>
      </c>
      <c r="T9" s="513">
        <f>'Forecast Model'!Q242</f>
        <v>135350.98414952651</v>
      </c>
    </row>
    <row r="10" spans="1:20" x14ac:dyDescent="0.3">
      <c r="A10" s="9"/>
      <c r="B10" s="385"/>
      <c r="C10" s="12"/>
      <c r="D10" s="216" t="s">
        <v>127</v>
      </c>
      <c r="E10" s="12"/>
      <c r="F10" s="12"/>
      <c r="G10" s="12"/>
      <c r="H10" s="12"/>
      <c r="I10" s="12"/>
      <c r="J10" s="12"/>
      <c r="K10" s="510">
        <f>'Forecast Model'!H241</f>
        <v>4295.191883781923</v>
      </c>
      <c r="L10" s="511">
        <f>'Forecast Model'!I241</f>
        <v>4113.9472200000027</v>
      </c>
      <c r="M10" s="511">
        <f>'Forecast Model'!J241</f>
        <v>3767.966040000003</v>
      </c>
      <c r="N10" s="511">
        <f>'Forecast Model'!K241</f>
        <v>3421.9848600000032</v>
      </c>
      <c r="O10" s="512">
        <f>'Forecast Model'!L241</f>
        <v>3076.003680000003</v>
      </c>
      <c r="P10" s="511">
        <f>'Forecast Model'!M241</f>
        <v>2730.0225000000032</v>
      </c>
      <c r="Q10" s="511">
        <f>'Forecast Model'!N241</f>
        <v>2384.041320000003</v>
      </c>
      <c r="R10" s="511">
        <f>'Forecast Model'!O241</f>
        <v>2038.060140000003</v>
      </c>
      <c r="S10" s="511">
        <f>'Forecast Model'!P241</f>
        <v>1692.078960000003</v>
      </c>
      <c r="T10" s="513">
        <f>'Forecast Model'!Q241</f>
        <v>1346.097780000003</v>
      </c>
    </row>
    <row r="11" spans="1:20" x14ac:dyDescent="0.3">
      <c r="A11" s="9"/>
      <c r="B11" s="389"/>
      <c r="C11" s="220" t="s">
        <v>209</v>
      </c>
      <c r="D11" s="27"/>
      <c r="E11" s="27"/>
      <c r="F11" s="27"/>
      <c r="G11" s="27"/>
      <c r="H11" s="27"/>
      <c r="I11" s="27"/>
      <c r="J11" s="27"/>
      <c r="K11" s="229">
        <f>SUM(K9+K10)</f>
        <v>56498.158573733206</v>
      </c>
      <c r="L11" s="230">
        <f>SUM(L9+L10)</f>
        <v>39364.212908148751</v>
      </c>
      <c r="M11" s="230">
        <f>SUM(M9+M10)</f>
        <v>58218.154639226763</v>
      </c>
      <c r="N11" s="230">
        <f>SUM(N9+N10)</f>
        <v>74854.384376926449</v>
      </c>
      <c r="O11" s="231">
        <f>SUM(O9+O10)</f>
        <v>81606.74679310307</v>
      </c>
      <c r="P11" s="230">
        <f>SUM(P9+P10)</f>
        <v>96532.336340498645</v>
      </c>
      <c r="Q11" s="230">
        <f>SUM(Q9+Q10)</f>
        <v>103992.1968612491</v>
      </c>
      <c r="R11" s="230">
        <f>SUM(R9+R10)</f>
        <v>120809.38073007666</v>
      </c>
      <c r="S11" s="230">
        <f>SUM(S9+S10)</f>
        <v>127205.65151099407</v>
      </c>
      <c r="T11" s="232">
        <f>SUM(T9+T10)</f>
        <v>136697.08192952652</v>
      </c>
    </row>
    <row r="12" spans="1:20" x14ac:dyDescent="0.3">
      <c r="A12" s="9"/>
      <c r="B12" s="385"/>
      <c r="C12" s="12"/>
      <c r="D12" s="216" t="s">
        <v>210</v>
      </c>
      <c r="E12" s="12"/>
      <c r="F12" s="12"/>
      <c r="G12" s="12"/>
      <c r="H12" s="12"/>
      <c r="I12" s="12"/>
      <c r="J12" s="12"/>
      <c r="K12" s="510">
        <f>'Forecast Model'!H244</f>
        <v>13825.120480366559</v>
      </c>
      <c r="L12" s="511">
        <f>'Forecast Model'!I244</f>
        <v>9335.4688632551861</v>
      </c>
      <c r="M12" s="511">
        <f>'Forecast Model'!J244</f>
        <v>14420.261247487622</v>
      </c>
      <c r="N12" s="511">
        <f>'Forecast Model'!K244</f>
        <v>18917.728093665701</v>
      </c>
      <c r="O12" s="512">
        <f>'Forecast Model'!L244</f>
        <v>20797.610821615537</v>
      </c>
      <c r="P12" s="511">
        <f>'Forecast Model'!M244</f>
        <v>24842.041983634619</v>
      </c>
      <c r="Q12" s="511">
        <f>'Forecast Model'!N244</f>
        <v>26909.294264611166</v>
      </c>
      <c r="R12" s="511">
        <f>'Forecast Model'!O244</f>
        <v>31454.683917152364</v>
      </c>
      <c r="S12" s="511">
        <f>'Forecast Model'!P244</f>
        <v>33240.261472969964</v>
      </c>
      <c r="T12" s="513">
        <f>'Forecast Model'!Q244</f>
        <v>35845.542536255707</v>
      </c>
    </row>
    <row r="13" spans="1:20" x14ac:dyDescent="0.3">
      <c r="A13" s="9"/>
      <c r="B13" s="385"/>
      <c r="C13" s="12"/>
      <c r="D13" s="216" t="s">
        <v>211</v>
      </c>
      <c r="E13" s="12"/>
      <c r="F13" s="12"/>
      <c r="G13" s="12"/>
      <c r="H13" s="12"/>
      <c r="I13" s="12"/>
      <c r="J13" s="12"/>
      <c r="K13" s="510">
        <f>'Forecast Model'!H234</f>
        <v>8660.0891640000009</v>
      </c>
      <c r="L13" s="511">
        <f>'Forecast Model'!I234</f>
        <v>8684.5087070062164</v>
      </c>
      <c r="M13" s="511">
        <f>'Forecast Model'!J234</f>
        <v>9421.723582304121</v>
      </c>
      <c r="N13" s="511">
        <f>'Forecast Model'!K234</f>
        <v>9853.350359138165</v>
      </c>
      <c r="O13" s="512">
        <f>'Forecast Model'!L234</f>
        <v>11190.022454319289</v>
      </c>
      <c r="P13" s="511">
        <f>'Forecast Model'!M234</f>
        <v>13056.997714622221</v>
      </c>
      <c r="Q13" s="511">
        <f>'Forecast Model'!N234</f>
        <v>13065.703518950162</v>
      </c>
      <c r="R13" s="511">
        <f>'Forecast Model'!O234</f>
        <v>11986.838664385497</v>
      </c>
      <c r="S13" s="511">
        <f>'Forecast Model'!P234</f>
        <v>10632.263984740413</v>
      </c>
      <c r="T13" s="513">
        <f>'Forecast Model'!Q234</f>
        <v>9116.2658895777713</v>
      </c>
    </row>
    <row r="14" spans="1:20" x14ac:dyDescent="0.3">
      <c r="A14" s="9"/>
      <c r="B14" s="389"/>
      <c r="C14" s="220" t="s">
        <v>167</v>
      </c>
      <c r="D14" s="27"/>
      <c r="E14" s="27"/>
      <c r="F14" s="27"/>
      <c r="G14" s="27"/>
      <c r="H14" s="27"/>
      <c r="I14" s="27"/>
      <c r="J14" s="27"/>
      <c r="K14" s="229">
        <f>K11-K12+K13</f>
        <v>51333.12725736665</v>
      </c>
      <c r="L14" s="230">
        <f>L11-L12+L13</f>
        <v>38713.252751899781</v>
      </c>
      <c r="M14" s="230">
        <f>M11-M12+M13</f>
        <v>53219.61697404326</v>
      </c>
      <c r="N14" s="230">
        <f>N11-N12+N13</f>
        <v>65790.006642398905</v>
      </c>
      <c r="O14" s="231">
        <f>O11-O12+O13</f>
        <v>71999.158425806818</v>
      </c>
      <c r="P14" s="230">
        <f>P11-P12+P13</f>
        <v>84747.292071486256</v>
      </c>
      <c r="Q14" s="230">
        <f>Q11-Q12+Q13</f>
        <v>90148.606115588103</v>
      </c>
      <c r="R14" s="230">
        <f>R11-R12+R13</f>
        <v>101341.53547730981</v>
      </c>
      <c r="S14" s="230">
        <f>S11-S12+S13</f>
        <v>104597.65402276453</v>
      </c>
      <c r="T14" s="232">
        <f>T11-T12+T13</f>
        <v>109967.8052828486</v>
      </c>
    </row>
    <row r="15" spans="1:20" x14ac:dyDescent="0.3">
      <c r="A15" s="9"/>
      <c r="B15" s="385"/>
      <c r="C15" s="12"/>
      <c r="D15" s="216" t="s">
        <v>212</v>
      </c>
      <c r="E15" s="12"/>
      <c r="F15" s="12"/>
      <c r="G15" s="12"/>
      <c r="H15" s="12"/>
      <c r="I15" s="12"/>
      <c r="J15" s="12"/>
      <c r="K15" s="514">
        <f>-'Forecast Model'!H290</f>
        <v>20892</v>
      </c>
      <c r="L15" s="515">
        <f>-'Forecast Model'!I290</f>
        <v>8719</v>
      </c>
      <c r="M15" s="515">
        <f>-'Forecast Model'!J290</f>
        <v>10463</v>
      </c>
      <c r="N15" s="515">
        <f>-'Forecast Model'!K290</f>
        <v>10463</v>
      </c>
      <c r="O15" s="516">
        <f>-'Forecast Model'!L290</f>
        <v>13078</v>
      </c>
      <c r="P15" s="515">
        <f>-'Forecast Model'!M290</f>
        <v>15694</v>
      </c>
      <c r="Q15" s="515">
        <f>-'Forecast Model'!N290</f>
        <v>13078</v>
      </c>
      <c r="R15" s="515">
        <f>-'Forecast Model'!O290</f>
        <v>10463</v>
      </c>
      <c r="S15" s="515">
        <f>-'Forecast Model'!P290</f>
        <v>8719</v>
      </c>
      <c r="T15" s="517">
        <f>-'Forecast Model'!Q290</f>
        <v>6975</v>
      </c>
    </row>
    <row r="16" spans="1:20" x14ac:dyDescent="0.3">
      <c r="A16" s="9"/>
      <c r="B16" s="389"/>
      <c r="C16" s="27"/>
      <c r="D16" s="220" t="s">
        <v>213</v>
      </c>
      <c r="E16" s="27"/>
      <c r="F16" s="27"/>
      <c r="G16" s="27"/>
      <c r="H16" s="27"/>
      <c r="I16" s="27"/>
      <c r="J16" s="27"/>
      <c r="K16" s="221">
        <f>-SUM('Forecast Model'!H283:H286)</f>
        <v>0</v>
      </c>
      <c r="L16" s="222">
        <f>-SUM('Forecast Model'!I283:I286)</f>
        <v>31250.787570343113</v>
      </c>
      <c r="M16" s="222">
        <f>-SUM('Forecast Model'!J283:J286)</f>
        <v>1419.8319027002435</v>
      </c>
      <c r="N16" s="222">
        <f>-SUM('Forecast Model'!K283:K286)</f>
        <v>4852.1480685657261</v>
      </c>
      <c r="O16" s="237">
        <f>-SUM('Forecast Model'!L283:L286)</f>
        <v>1151.9555056717945</v>
      </c>
      <c r="P16" s="222">
        <f>-SUM('Forecast Model'!M283:M286)</f>
        <v>-2323.958249361156</v>
      </c>
      <c r="Q16" s="222">
        <f>-SUM('Forecast Model'!N283:N286)</f>
        <v>4722.5592235033873</v>
      </c>
      <c r="R16" s="222">
        <f>-SUM('Forecast Model'!O283:O286)</f>
        <v>70.043606930277747</v>
      </c>
      <c r="S16" s="222">
        <f>-SUM('Forecast Model'!P283:P286)</f>
        <v>4851.5714891701864</v>
      </c>
      <c r="T16" s="223">
        <f>-SUM('Forecast Model'!Q283:Q286)</f>
        <v>772.46815596918896</v>
      </c>
    </row>
    <row r="17" spans="1:20" x14ac:dyDescent="0.3">
      <c r="A17" s="9"/>
      <c r="B17" s="389"/>
      <c r="C17" s="220" t="s">
        <v>214</v>
      </c>
      <c r="D17" s="27"/>
      <c r="E17" s="27"/>
      <c r="F17" s="27"/>
      <c r="G17" s="27"/>
      <c r="H17" s="27"/>
      <c r="I17" s="27"/>
      <c r="J17" s="27"/>
      <c r="K17" s="238">
        <f>K14-K15-K16</f>
        <v>30441.12725736665</v>
      </c>
      <c r="L17" s="239">
        <f>L14-L15-L16</f>
        <v>-1256.5348184433315</v>
      </c>
      <c r="M17" s="239">
        <f>M14-M15-M16</f>
        <v>41336.785071343016</v>
      </c>
      <c r="N17" s="239">
        <f>N14-N15-N16</f>
        <v>50474.858573833175</v>
      </c>
      <c r="O17" s="240">
        <f>O14-O15-O16</f>
        <v>57769.202920135023</v>
      </c>
      <c r="P17" s="239">
        <f>P14-P15-P16</f>
        <v>71377.250320847408</v>
      </c>
      <c r="Q17" s="239">
        <f>Q14-Q15-Q16</f>
        <v>72348.04689208472</v>
      </c>
      <c r="R17" s="239">
        <f>R14-R15-R16</f>
        <v>90808.491870379527</v>
      </c>
      <c r="S17" s="239">
        <f>S14-S15-S16</f>
        <v>91027.082533594337</v>
      </c>
      <c r="T17" s="241">
        <f>T14-T15-T16</f>
        <v>102220.3371268794</v>
      </c>
    </row>
    <row r="18" spans="1:20" x14ac:dyDescent="0.3">
      <c r="A18" s="9"/>
      <c r="B18" s="389"/>
      <c r="C18" s="27"/>
      <c r="D18" s="220" t="s">
        <v>215</v>
      </c>
      <c r="E18" s="27"/>
      <c r="F18" s="27"/>
      <c r="G18" s="27"/>
      <c r="H18" s="27"/>
      <c r="I18" s="27"/>
      <c r="J18" s="27"/>
      <c r="K18" s="391">
        <f>K14*$K$26*'Formula Audit'!C12</f>
        <v>0</v>
      </c>
      <c r="L18" s="391">
        <f>L14*$K$26*'Formula Audit'!D12</f>
        <v>0</v>
      </c>
      <c r="M18" s="391">
        <f>M14*$K$26*'Formula Audit'!E12</f>
        <v>0</v>
      </c>
      <c r="N18" s="391">
        <f>N14*$K$26*'Formula Audit'!F12</f>
        <v>0</v>
      </c>
      <c r="O18" s="392">
        <f>O14*$K$26*'Formula Audit'!G12</f>
        <v>0</v>
      </c>
      <c r="P18" s="393">
        <f>P14*$K$26*'Formula Audit'!H12</f>
        <v>0</v>
      </c>
      <c r="Q18" s="393">
        <f>Q14*$K$26*'Formula Audit'!I12</f>
        <v>0</v>
      </c>
      <c r="R18" s="393">
        <f>R14*$K$26*'Formula Audit'!J12</f>
        <v>0</v>
      </c>
      <c r="S18" s="393">
        <f>S14*$K$26*'Formula Audit'!K12</f>
        <v>0</v>
      </c>
      <c r="T18" s="242">
        <f>T14*$K$26*'Formula Audit'!L12</f>
        <v>351392.99445350422</v>
      </c>
    </row>
    <row r="19" spans="1:20" x14ac:dyDescent="0.3">
      <c r="A19" s="9"/>
      <c r="B19" s="385"/>
      <c r="C19" s="216" t="s">
        <v>216</v>
      </c>
      <c r="D19" s="12"/>
      <c r="E19" s="12"/>
      <c r="F19" s="12"/>
      <c r="G19" s="12"/>
      <c r="H19" s="12"/>
      <c r="I19" s="12"/>
      <c r="J19" s="243">
        <f>-K40</f>
        <v>-292281.44620520371</v>
      </c>
      <c r="K19" s="518">
        <f>K17+K18</f>
        <v>30441.12725736665</v>
      </c>
      <c r="L19" s="518">
        <f>L17+L18</f>
        <v>-1256.5348184433315</v>
      </c>
      <c r="M19" s="518">
        <f>M17+M18</f>
        <v>41336.785071343016</v>
      </c>
      <c r="N19" s="518">
        <f>N17+N18</f>
        <v>50474.858573833175</v>
      </c>
      <c r="O19" s="519">
        <f>O17+O18</f>
        <v>57769.202920135023</v>
      </c>
      <c r="P19" s="520">
        <f>P17+P18</f>
        <v>71377.250320847408</v>
      </c>
      <c r="Q19" s="520">
        <f>Q17+Q18</f>
        <v>72348.04689208472</v>
      </c>
      <c r="R19" s="520">
        <f>R17+R18</f>
        <v>90808.491870379527</v>
      </c>
      <c r="S19" s="520">
        <f>S17+S18</f>
        <v>91027.082533594337</v>
      </c>
      <c r="T19" s="521">
        <f>T17+T18</f>
        <v>453613.33158038359</v>
      </c>
    </row>
    <row r="20" spans="1:20" x14ac:dyDescent="0.3">
      <c r="A20" s="9"/>
      <c r="B20" s="385"/>
      <c r="C20" s="12"/>
      <c r="D20" s="12"/>
      <c r="E20" s="12"/>
      <c r="F20" s="12"/>
      <c r="G20" s="12"/>
      <c r="H20" s="12"/>
      <c r="I20" s="216"/>
      <c r="J20" s="216"/>
      <c r="K20" s="42"/>
      <c r="L20" s="43"/>
      <c r="M20" s="43"/>
      <c r="N20" s="43"/>
      <c r="O20" s="44"/>
      <c r="P20" s="43"/>
      <c r="Q20" s="43"/>
      <c r="R20" s="43"/>
      <c r="S20" s="43"/>
      <c r="T20" s="522"/>
    </row>
    <row r="21" spans="1:20" x14ac:dyDescent="0.3">
      <c r="A21" s="9"/>
      <c r="B21" s="385"/>
      <c r="C21" s="12"/>
      <c r="D21" s="216" t="s">
        <v>217</v>
      </c>
      <c r="E21" s="12"/>
      <c r="F21" s="12"/>
      <c r="G21" s="12"/>
      <c r="H21" s="12"/>
      <c r="I21" s="12"/>
      <c r="J21" s="12"/>
      <c r="K21" s="248">
        <f>K18/(1+$E$40)^'Formula Audit'!C13</f>
        <v>0</v>
      </c>
      <c r="L21" s="248">
        <f>L18/(1+$E$40)^'Formula Audit'!D13</f>
        <v>0</v>
      </c>
      <c r="M21" s="248">
        <f>M18/(1+$E$40)^'Formula Audit'!E13</f>
        <v>0</v>
      </c>
      <c r="N21" s="248">
        <f>N18/(1+$E$40)^'Formula Audit'!F13</f>
        <v>0</v>
      </c>
      <c r="O21" s="249">
        <f>O18/(1+$E$40)^'Formula Audit'!G13</f>
        <v>0</v>
      </c>
      <c r="P21" s="248">
        <f>P18/(1+$E$40)^'Formula Audit'!H13</f>
        <v>0</v>
      </c>
      <c r="Q21" s="248">
        <f>Q18/(1+$E$40)^'Formula Audit'!I13</f>
        <v>0</v>
      </c>
      <c r="R21" s="248">
        <f>R18/(1+$E$40)^'Formula Audit'!J13</f>
        <v>0</v>
      </c>
      <c r="S21" s="248">
        <f>S18/(1+$E$40)^'Formula Audit'!K13</f>
        <v>0</v>
      </c>
      <c r="T21" s="503">
        <f>T18/(1+$E$40)^'Formula Audit'!L13</f>
        <v>169548.04371932277</v>
      </c>
    </row>
    <row r="22" spans="1:20" x14ac:dyDescent="0.3">
      <c r="A22" s="37"/>
      <c r="B22" s="394"/>
      <c r="C22" s="38"/>
      <c r="D22" s="216" t="s">
        <v>218</v>
      </c>
      <c r="E22" s="38"/>
      <c r="F22" s="38"/>
      <c r="G22" s="38"/>
      <c r="H22" s="38"/>
      <c r="I22" s="12"/>
      <c r="J22" s="12"/>
      <c r="K22" s="492">
        <f>K19/(1+$E$40)^'Formula Audit'!C13</f>
        <v>30441.12725736665</v>
      </c>
      <c r="L22" s="493">
        <f>L19/(1+$E$40)^'Formula Audit'!D13</f>
        <v>-1158.7982364689403</v>
      </c>
      <c r="M22" s="493">
        <f>M19/(1+$E$40)^'Formula Audit'!E13</f>
        <v>35156.310642918797</v>
      </c>
      <c r="N22" s="493">
        <f>N19/(1+$E$40)^'Formula Audit'!F13</f>
        <v>39589.043180558721</v>
      </c>
      <c r="O22" s="523">
        <f>O19/(1+$E$40)^'Formula Audit'!G13</f>
        <v>41785.881500459916</v>
      </c>
      <c r="P22" s="493">
        <f>P19/(1+$E$40)^'Formula Audit'!H13</f>
        <v>47613.083146672223</v>
      </c>
      <c r="Q22" s="493">
        <f>Q19/(1+$E$40)^'Formula Audit'!I13</f>
        <v>44506.823660113485</v>
      </c>
      <c r="R22" s="493">
        <f>R19/(1+$E$40)^'Formula Audit'!J13</f>
        <v>51518.06595835511</v>
      </c>
      <c r="S22" s="493">
        <f>S19/(1+$E$40)^'Formula Audit'!K13</f>
        <v>47625.221611781933</v>
      </c>
      <c r="T22" s="503">
        <f>T19/(1+$E$40)^'Formula Audit'!L13</f>
        <v>218869.62514454752</v>
      </c>
    </row>
    <row r="23" spans="1:20" x14ac:dyDescent="0.3">
      <c r="A23" s="9"/>
      <c r="B23" s="385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3">
      <c r="A24" s="9"/>
      <c r="B24" s="55"/>
      <c r="C24" s="55" t="s">
        <v>36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  <row r="25" spans="1:20" x14ac:dyDescent="0.3">
      <c r="A25" s="9"/>
      <c r="B25" s="33"/>
      <c r="C25" s="33" t="s">
        <v>219</v>
      </c>
      <c r="D25" s="33"/>
      <c r="E25" s="33"/>
      <c r="F25" s="33"/>
      <c r="G25" s="33" t="s">
        <v>220</v>
      </c>
      <c r="H25" s="33"/>
      <c r="I25" s="33"/>
      <c r="J25" s="33"/>
      <c r="K25" s="33"/>
      <c r="L25" s="33"/>
      <c r="M25" s="33" t="s">
        <v>221</v>
      </c>
      <c r="N25" s="33"/>
      <c r="O25" s="33"/>
      <c r="P25" s="33"/>
      <c r="Q25" s="33"/>
      <c r="R25" s="33"/>
      <c r="S25" s="33"/>
      <c r="T25" s="33"/>
    </row>
    <row r="26" spans="1:20" x14ac:dyDescent="0.3">
      <c r="A26" s="9"/>
      <c r="B26" s="56"/>
      <c r="C26" s="56"/>
      <c r="D26" s="56"/>
      <c r="E26" s="56"/>
      <c r="F26" s="56"/>
      <c r="G26" s="56" t="s">
        <v>222</v>
      </c>
      <c r="H26" s="56"/>
      <c r="I26" s="56"/>
      <c r="J26" s="56"/>
      <c r="K26" s="254">
        <v>3.195417</v>
      </c>
      <c r="L26" s="56"/>
      <c r="M26" s="56"/>
      <c r="N26" s="56"/>
      <c r="O26" s="463" t="s">
        <v>223</v>
      </c>
      <c r="P26" s="463"/>
      <c r="Q26" s="463"/>
      <c r="R26" s="463"/>
      <c r="S26" s="463"/>
      <c r="T26" s="463"/>
    </row>
    <row r="27" spans="1:20" x14ac:dyDescent="0.3">
      <c r="A27" s="9"/>
      <c r="B27" s="395"/>
      <c r="C27" s="51"/>
      <c r="D27" s="255" t="s">
        <v>224</v>
      </c>
      <c r="E27" s="256">
        <f>E43/E45</f>
        <v>0.43296285660167538</v>
      </c>
      <c r="F27" s="395"/>
      <c r="G27" s="255" t="s">
        <v>225</v>
      </c>
      <c r="H27" s="51"/>
      <c r="I27" s="51"/>
      <c r="J27" s="51"/>
      <c r="K27" s="257">
        <v>10</v>
      </c>
      <c r="L27" s="51"/>
      <c r="M27" s="471" t="s">
        <v>222</v>
      </c>
      <c r="N27" s="52"/>
      <c r="O27" s="475"/>
      <c r="P27" s="475"/>
      <c r="Q27" s="475"/>
      <c r="R27" s="475"/>
      <c r="S27" s="475"/>
      <c r="T27" s="475"/>
    </row>
    <row r="28" spans="1:20" ht="15" thickBot="1" x14ac:dyDescent="0.35">
      <c r="A28" s="9"/>
      <c r="B28" s="395"/>
      <c r="C28" s="51"/>
      <c r="D28" s="255" t="s">
        <v>226</v>
      </c>
      <c r="E28" s="256">
        <f>E44/E45</f>
        <v>0.56703714339832456</v>
      </c>
      <c r="F28" s="395"/>
      <c r="G28" s="255" t="s">
        <v>227</v>
      </c>
      <c r="H28" s="51"/>
      <c r="I28" s="51"/>
      <c r="J28" s="51"/>
      <c r="K28" s="257">
        <v>40000</v>
      </c>
      <c r="L28" s="51"/>
      <c r="M28" s="472"/>
      <c r="N28" s="53"/>
      <c r="O28" s="50"/>
      <c r="P28" s="258">
        <f>R28-2%</f>
        <v>6.4343053776308445E-2</v>
      </c>
      <c r="Q28" s="258">
        <f>R28-1%</f>
        <v>7.4343053776308454E-2</v>
      </c>
      <c r="R28" s="258">
        <f>E40</f>
        <v>8.4343053776308449E-2</v>
      </c>
      <c r="S28" s="258">
        <f>R28+1%</f>
        <v>9.4343053776308444E-2</v>
      </c>
      <c r="T28" s="258">
        <f>R28+2%</f>
        <v>0.10434305377630845</v>
      </c>
    </row>
    <row r="29" spans="1:20" x14ac:dyDescent="0.3">
      <c r="A29" s="9"/>
      <c r="B29" s="385"/>
      <c r="C29" s="259" t="s">
        <v>228</v>
      </c>
      <c r="D29" s="40"/>
      <c r="E29" s="524">
        <f>E27/E28</f>
        <v>0.76355290238462126</v>
      </c>
      <c r="F29" s="385"/>
      <c r="G29" s="11"/>
      <c r="H29" s="11"/>
      <c r="I29" s="11"/>
      <c r="J29" s="11"/>
      <c r="K29" s="11"/>
      <c r="L29" s="11"/>
      <c r="M29" s="473"/>
      <c r="N29" s="261">
        <f>K26-2</f>
        <v>1.195417</v>
      </c>
      <c r="O29" s="216" t="s">
        <v>20</v>
      </c>
      <c r="P29" s="262">
        <f>'Formula Audit'!N19</f>
        <v>-679429.14806588087</v>
      </c>
      <c r="Q29" s="262">
        <f>'Formula Audit'!O19</f>
        <v>-636892.29919291311</v>
      </c>
      <c r="R29" s="262">
        <f>'Formula Audit'!P19</f>
        <v>-597375.89228365733</v>
      </c>
      <c r="S29" s="262">
        <f>'Formula Audit'!Q19</f>
        <v>-560622.80798865412</v>
      </c>
      <c r="T29" s="262">
        <f>'Formula Audit'!R19</f>
        <v>-526400.6886442157</v>
      </c>
    </row>
    <row r="30" spans="1:20" x14ac:dyDescent="0.3">
      <c r="A30" s="9"/>
      <c r="B30" s="385"/>
      <c r="C30" s="12"/>
      <c r="D30" s="12"/>
      <c r="E30" s="12"/>
      <c r="F30" s="385"/>
      <c r="G30" s="263" t="s">
        <v>229</v>
      </c>
      <c r="H30" s="8"/>
      <c r="I30" s="8"/>
      <c r="J30" s="8"/>
      <c r="K30" s="8"/>
      <c r="L30" s="11"/>
      <c r="M30" s="473"/>
      <c r="N30" s="261">
        <f>K26-1</f>
        <v>2.195417</v>
      </c>
      <c r="O30" s="216" t="s">
        <v>20</v>
      </c>
      <c r="P30" s="262">
        <f>'Formula Audit'!N20</f>
        <v>-627809.1670388428</v>
      </c>
      <c r="Q30" s="350">
        <f>'Formula Audit'!O20</f>
        <v>-585272.31816587481</v>
      </c>
      <c r="R30" s="350">
        <f>'Formula Audit'!P20</f>
        <v>-545755.91125661903</v>
      </c>
      <c r="S30" s="350">
        <f>'Formula Audit'!Q20</f>
        <v>-509002.82696161588</v>
      </c>
      <c r="T30" s="262">
        <f>'Formula Audit'!R20</f>
        <v>-474780.70761717745</v>
      </c>
    </row>
    <row r="31" spans="1:20" x14ac:dyDescent="0.3">
      <c r="A31" s="9"/>
      <c r="B31" s="389"/>
      <c r="C31" s="27"/>
      <c r="D31" s="220" t="s">
        <v>230</v>
      </c>
      <c r="E31" s="54">
        <f>'Control Center'!G49</f>
        <v>6.2939999999999996E-2</v>
      </c>
      <c r="F31" s="389"/>
      <c r="G31" s="27"/>
      <c r="H31" s="220" t="s">
        <v>231</v>
      </c>
      <c r="I31" s="46"/>
      <c r="J31" s="46"/>
      <c r="K31" s="264">
        <f>SUM(K22:T22)</f>
        <v>555946.38386630535</v>
      </c>
      <c r="L31" s="27"/>
      <c r="M31" s="474"/>
      <c r="N31" s="265">
        <f>K26</f>
        <v>3.195417</v>
      </c>
      <c r="O31" s="220" t="s">
        <v>20</v>
      </c>
      <c r="P31" s="266">
        <f>'Formula Audit'!N21</f>
        <v>-584879.21342625958</v>
      </c>
      <c r="Q31" s="266">
        <f>'Formula Audit'!O21</f>
        <v>-542342.36455329182</v>
      </c>
      <c r="R31" s="266">
        <f>'Formula Audit'!P21</f>
        <v>-502825.95764403598</v>
      </c>
      <c r="S31" s="266">
        <f>'Formula Audit'!Q21</f>
        <v>-466072.87334903277</v>
      </c>
      <c r="T31" s="266">
        <f>'Formula Audit'!R21</f>
        <v>-431850.75400459435</v>
      </c>
    </row>
    <row r="32" spans="1:20" ht="15" thickBot="1" x14ac:dyDescent="0.35">
      <c r="A32" s="9"/>
      <c r="B32" s="389"/>
      <c r="C32" s="27"/>
      <c r="D32" s="220" t="s">
        <v>70</v>
      </c>
      <c r="E32" s="54">
        <f>'Control Center'!G38</f>
        <v>0.26483400000000001</v>
      </c>
      <c r="F32" s="389"/>
      <c r="G32" s="27"/>
      <c r="H32" s="220" t="s">
        <v>232</v>
      </c>
      <c r="I32" s="46"/>
      <c r="J32" s="46"/>
      <c r="K32" s="264">
        <f>SUM(K21:T21)</f>
        <v>169548.04371932277</v>
      </c>
      <c r="L32" s="27"/>
      <c r="M32" s="474"/>
      <c r="N32" s="265">
        <f>K26+1</f>
        <v>4.195417</v>
      </c>
      <c r="O32" s="220" t="s">
        <v>20</v>
      </c>
      <c r="P32" s="266">
        <f>'Formula Audit'!N22</f>
        <v>-549471.87821197347</v>
      </c>
      <c r="Q32" s="266">
        <f>'Formula Audit'!O22</f>
        <v>-506935.02933900553</v>
      </c>
      <c r="R32" s="266">
        <f>'Formula Audit'!P22</f>
        <v>-467418.62242974975</v>
      </c>
      <c r="S32" s="266">
        <f>'Formula Audit'!Q22</f>
        <v>-430665.53813474654</v>
      </c>
      <c r="T32" s="266">
        <f>'Formula Audit'!R22</f>
        <v>-396443.41879030812</v>
      </c>
    </row>
    <row r="33" spans="1:20" x14ac:dyDescent="0.3">
      <c r="A33" s="9"/>
      <c r="B33" s="385"/>
      <c r="C33" s="259" t="s">
        <v>233</v>
      </c>
      <c r="D33" s="40"/>
      <c r="E33" s="524">
        <f>E31*(1-E32)</f>
        <v>4.6271348039999993E-2</v>
      </c>
      <c r="F33" s="385"/>
      <c r="G33" s="12"/>
      <c r="H33" s="216" t="s">
        <v>234</v>
      </c>
      <c r="I33" s="39"/>
      <c r="J33" s="39"/>
      <c r="K33" s="525">
        <f>K38-K39</f>
        <v>-107718.55379479629</v>
      </c>
      <c r="L33" s="11"/>
      <c r="M33" s="473"/>
      <c r="N33" s="261">
        <f>K26+2</f>
        <v>5.195417</v>
      </c>
      <c r="O33" s="216" t="s">
        <v>20</v>
      </c>
      <c r="P33" s="262">
        <f>'Formula Audit'!N23</f>
        <v>-520570.4940980004</v>
      </c>
      <c r="Q33" s="262">
        <f>'Formula Audit'!O23</f>
        <v>-478033.64522503252</v>
      </c>
      <c r="R33" s="262">
        <f>'Formula Audit'!P23</f>
        <v>-438517.23831577675</v>
      </c>
      <c r="S33" s="262">
        <f>'Formula Audit'!Q23</f>
        <v>-401764.15402077354</v>
      </c>
      <c r="T33" s="262">
        <f>'Formula Audit'!R23</f>
        <v>-367542.03467633511</v>
      </c>
    </row>
    <row r="34" spans="1:20" x14ac:dyDescent="0.3">
      <c r="A34" s="9"/>
      <c r="B34" s="58"/>
      <c r="C34" s="58"/>
      <c r="D34" s="58"/>
      <c r="E34" s="58"/>
      <c r="F34" s="58"/>
      <c r="G34" s="58" t="s">
        <v>235</v>
      </c>
      <c r="H34" s="58"/>
      <c r="I34" s="58"/>
      <c r="J34" s="58"/>
      <c r="K34" s="351">
        <f>K31+K32-K33</f>
        <v>833212.98138042446</v>
      </c>
      <c r="L34" s="58"/>
      <c r="M34" s="58"/>
      <c r="N34" s="58"/>
      <c r="O34" s="58"/>
      <c r="P34" s="58"/>
      <c r="Q34" s="58"/>
      <c r="R34" s="58"/>
      <c r="S34" s="58"/>
      <c r="T34" s="58"/>
    </row>
    <row r="35" spans="1:20" x14ac:dyDescent="0.3">
      <c r="A35" s="9"/>
      <c r="B35" s="385"/>
      <c r="C35" s="12"/>
      <c r="D35" s="216" t="s">
        <v>236</v>
      </c>
      <c r="E35" s="268">
        <v>2.4138E-2</v>
      </c>
      <c r="F35" s="38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385"/>
    </row>
    <row r="36" spans="1:20" x14ac:dyDescent="0.3">
      <c r="A36" s="9"/>
      <c r="B36" s="59"/>
      <c r="C36" s="59"/>
      <c r="D36" s="59" t="s">
        <v>237</v>
      </c>
      <c r="E36" s="269">
        <v>7.3205000000000006E-2</v>
      </c>
      <c r="F36" s="59"/>
      <c r="G36" s="59" t="s">
        <v>238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</row>
    <row r="37" spans="1:20" ht="15" thickBot="1" x14ac:dyDescent="0.35">
      <c r="A37" s="9"/>
      <c r="B37" s="385"/>
      <c r="C37" s="12"/>
      <c r="D37" s="216" t="s">
        <v>239</v>
      </c>
      <c r="E37" s="270">
        <v>1.2195180000000001</v>
      </c>
      <c r="F37" s="385"/>
      <c r="G37" s="12"/>
      <c r="H37" s="216" t="s">
        <v>240</v>
      </c>
      <c r="I37" s="39"/>
      <c r="J37" s="39"/>
      <c r="K37" s="525">
        <f>K27*K28</f>
        <v>400000</v>
      </c>
      <c r="L37" s="11"/>
      <c r="M37" s="11"/>
      <c r="N37" s="11"/>
      <c r="O37" s="11"/>
      <c r="P37" s="11"/>
      <c r="Q37" s="11"/>
      <c r="R37" s="11"/>
      <c r="S37" s="11"/>
      <c r="T37" s="385"/>
    </row>
    <row r="38" spans="1:20" x14ac:dyDescent="0.3">
      <c r="A38" s="9"/>
      <c r="B38" s="55"/>
      <c r="C38" s="60" t="s">
        <v>241</v>
      </c>
      <c r="D38" s="60"/>
      <c r="E38" s="61">
        <f>E35+(E36*E37)</f>
        <v>0.11341281519000002</v>
      </c>
      <c r="F38" s="55"/>
      <c r="G38" s="55"/>
      <c r="H38" s="55" t="s">
        <v>242</v>
      </c>
      <c r="I38" s="55"/>
      <c r="J38" s="55"/>
      <c r="K38" s="352">
        <f>E43</f>
        <v>70860</v>
      </c>
      <c r="L38" s="55"/>
      <c r="M38" s="55"/>
      <c r="N38" s="55"/>
      <c r="O38" s="55"/>
      <c r="P38" s="55"/>
      <c r="Q38" s="55"/>
      <c r="R38" s="55"/>
      <c r="S38" s="55"/>
      <c r="T38" s="55"/>
    </row>
    <row r="39" spans="1:20" ht="15" thickBot="1" x14ac:dyDescent="0.35">
      <c r="A39" s="9"/>
      <c r="B39" s="385"/>
      <c r="C39" s="39"/>
      <c r="D39" s="39"/>
      <c r="E39" s="39"/>
      <c r="F39" s="385"/>
      <c r="G39" s="12"/>
      <c r="H39" s="216" t="s">
        <v>243</v>
      </c>
      <c r="I39" s="39"/>
      <c r="J39" s="39"/>
      <c r="K39" s="526">
        <f>'Forecast Model'!T191</f>
        <v>178578.55379479629</v>
      </c>
      <c r="L39" s="11"/>
      <c r="M39" s="11"/>
      <c r="N39" s="11"/>
      <c r="O39" s="11"/>
      <c r="P39" s="11"/>
      <c r="Q39" s="11"/>
      <c r="R39" s="11"/>
      <c r="S39" s="11"/>
      <c r="T39" s="385"/>
    </row>
    <row r="40" spans="1:20" x14ac:dyDescent="0.3">
      <c r="A40" s="9"/>
      <c r="B40" s="55"/>
      <c r="C40" s="55" t="s">
        <v>244</v>
      </c>
      <c r="D40" s="55"/>
      <c r="E40" s="62">
        <f>(E27*E33)+(E28*E38)</f>
        <v>8.4343053776308449E-2</v>
      </c>
      <c r="F40" s="55"/>
      <c r="G40" s="55" t="s">
        <v>245</v>
      </c>
      <c r="H40" s="55"/>
      <c r="I40" s="55"/>
      <c r="J40" s="55"/>
      <c r="K40" s="353">
        <f>K37+K38-K39</f>
        <v>292281.44620520371</v>
      </c>
      <c r="L40" s="55"/>
      <c r="M40" s="55"/>
      <c r="N40" s="55"/>
      <c r="O40" s="55"/>
      <c r="P40" s="55"/>
      <c r="Q40" s="55"/>
      <c r="R40" s="55"/>
      <c r="S40" s="55"/>
      <c r="T40" s="55"/>
    </row>
    <row r="41" spans="1:20" x14ac:dyDescent="0.3">
      <c r="A41" s="9"/>
      <c r="B41" s="385"/>
      <c r="C41" s="11"/>
      <c r="D41" s="11"/>
      <c r="E41" s="11"/>
      <c r="F41" s="38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385"/>
    </row>
    <row r="42" spans="1:20" x14ac:dyDescent="0.3">
      <c r="A42" s="9"/>
      <c r="B42" s="55"/>
      <c r="C42" s="55" t="s">
        <v>246</v>
      </c>
      <c r="D42" s="55"/>
      <c r="E42" s="55"/>
      <c r="F42" s="55"/>
      <c r="G42" s="55" t="s">
        <v>247</v>
      </c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</row>
    <row r="43" spans="1:20" x14ac:dyDescent="0.3">
      <c r="A43" s="9"/>
      <c r="B43" s="385"/>
      <c r="C43" s="12"/>
      <c r="D43" s="216" t="s">
        <v>248</v>
      </c>
      <c r="E43" s="262">
        <f>'Control Center'!G50</f>
        <v>70860</v>
      </c>
      <c r="F43" s="385"/>
      <c r="G43" s="12"/>
      <c r="H43" s="216" t="s">
        <v>249</v>
      </c>
      <c r="I43" s="12"/>
      <c r="J43" s="12"/>
      <c r="K43" s="525">
        <f>K27</f>
        <v>10</v>
      </c>
      <c r="L43" s="11"/>
      <c r="M43" s="11"/>
      <c r="N43" s="11"/>
      <c r="O43" s="11"/>
      <c r="P43" s="11"/>
      <c r="Q43" s="11"/>
      <c r="R43" s="11"/>
      <c r="S43" s="11"/>
      <c r="T43" s="385"/>
    </row>
    <row r="44" spans="1:20" x14ac:dyDescent="0.3">
      <c r="A44" s="9"/>
      <c r="B44" s="385"/>
      <c r="C44" s="12"/>
      <c r="D44" s="216" t="s">
        <v>250</v>
      </c>
      <c r="E44" s="262">
        <f>'Control Center'!G51</f>
        <v>92803</v>
      </c>
      <c r="F44" s="385"/>
      <c r="G44" s="12"/>
      <c r="H44" s="216" t="s">
        <v>251</v>
      </c>
      <c r="I44" s="12"/>
      <c r="J44" s="12"/>
      <c r="K44" s="525">
        <f>K45-K43</f>
        <v>10.830324534510613</v>
      </c>
      <c r="L44" s="11"/>
      <c r="M44" s="11"/>
      <c r="N44" s="11"/>
      <c r="O44" s="11"/>
      <c r="P44" s="11"/>
      <c r="Q44" s="11"/>
      <c r="R44" s="11"/>
      <c r="S44" s="11"/>
      <c r="T44" s="385"/>
    </row>
    <row r="45" spans="1:20" x14ac:dyDescent="0.3">
      <c r="A45" s="9"/>
      <c r="B45" s="58"/>
      <c r="C45" s="58" t="s">
        <v>252</v>
      </c>
      <c r="D45" s="58"/>
      <c r="E45" s="351">
        <f>SUM(E43:E44)</f>
        <v>163663</v>
      </c>
      <c r="F45" s="58"/>
      <c r="G45" s="58"/>
      <c r="H45" s="58" t="s">
        <v>253</v>
      </c>
      <c r="I45" s="58"/>
      <c r="J45" s="58"/>
      <c r="K45" s="354">
        <f>K34/K28</f>
        <v>20.830324534510613</v>
      </c>
      <c r="L45" s="58"/>
      <c r="M45" s="58"/>
      <c r="N45" s="58"/>
      <c r="O45" s="58"/>
      <c r="P45" s="58"/>
      <c r="Q45" s="58"/>
      <c r="R45" s="58"/>
      <c r="S45" s="58"/>
      <c r="T45" s="58"/>
    </row>
    <row r="46" spans="1:20" x14ac:dyDescent="0.3">
      <c r="A46" s="9"/>
      <c r="B46" s="385"/>
      <c r="C46" s="385"/>
      <c r="D46" s="385"/>
      <c r="E46" s="385"/>
      <c r="F46" s="385"/>
      <c r="G46" s="12"/>
      <c r="H46" s="216" t="s">
        <v>254</v>
      </c>
      <c r="I46" s="12"/>
      <c r="J46" s="12"/>
      <c r="K46" s="527">
        <f>K44/K43</f>
        <v>1.0830324534510614</v>
      </c>
      <c r="L46" s="11"/>
      <c r="M46" s="11"/>
      <c r="N46" s="11"/>
      <c r="O46" s="11"/>
      <c r="P46" s="11"/>
      <c r="Q46" s="11"/>
      <c r="R46" s="11"/>
      <c r="S46" s="11"/>
      <c r="T46" s="385"/>
    </row>
    <row r="47" spans="1:20" x14ac:dyDescent="0.3">
      <c r="A47" s="9"/>
      <c r="B47" s="55"/>
      <c r="C47" s="449" t="str">
        <f>'Formula Audit'!C39</f>
        <v>Attractive Investment</v>
      </c>
      <c r="D47" s="450"/>
      <c r="E47" s="450"/>
      <c r="F47" s="55"/>
      <c r="G47" s="55" t="s">
        <v>255</v>
      </c>
      <c r="H47" s="55"/>
      <c r="I47" s="55"/>
      <c r="J47" s="55"/>
      <c r="K47" s="62">
        <f>IFERROR(IRR(J19:T19),0)</f>
        <v>0.17364781671938423</v>
      </c>
      <c r="L47" s="55"/>
      <c r="M47" s="55"/>
      <c r="N47" s="55"/>
      <c r="O47" s="55"/>
      <c r="P47" s="55"/>
      <c r="Q47" s="55"/>
      <c r="R47" s="55"/>
      <c r="S47" s="55"/>
      <c r="T47" s="55"/>
    </row>
    <row r="55" spans="1:17" x14ac:dyDescent="0.3">
      <c r="A55" s="211" t="s">
        <v>0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18" x14ac:dyDescent="0.3">
      <c r="A56" s="199" t="s">
        <v>38</v>
      </c>
      <c r="B56" s="449" t="str">
        <f>'Control Center'!F6</f>
        <v/>
      </c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</row>
    <row r="57" spans="1:17" x14ac:dyDescent="0.3">
      <c r="A57" s="64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</row>
    <row r="58" spans="1:17" x14ac:dyDescent="0.3">
      <c r="A58" s="64"/>
      <c r="B58" s="55"/>
      <c r="C58" s="55" t="s">
        <v>27</v>
      </c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</row>
    <row r="59" spans="1:17" x14ac:dyDescent="0.3">
      <c r="A59" s="64"/>
      <c r="B59" s="396"/>
      <c r="C59" s="262" t="str">
        <f>'Formula Audit'!A3</f>
        <v>Figures in USD</v>
      </c>
      <c r="D59" s="21"/>
      <c r="E59" s="21"/>
      <c r="F59" s="1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x14ac:dyDescent="0.3">
      <c r="A60" s="67"/>
      <c r="B60" s="397"/>
      <c r="C60" s="83"/>
      <c r="D60" s="83"/>
      <c r="E60" s="213" t="s">
        <v>50</v>
      </c>
      <c r="F60" s="342" t="str">
        <f>'Control Center'!E25</f>
        <v>Central Case</v>
      </c>
      <c r="G60" s="11"/>
      <c r="H60" s="397"/>
      <c r="I60" s="397"/>
      <c r="J60" s="397"/>
      <c r="K60" s="397"/>
      <c r="L60" s="397"/>
      <c r="M60" s="397"/>
      <c r="N60" s="397"/>
      <c r="O60" s="397"/>
      <c r="P60" s="397"/>
      <c r="Q60" s="397"/>
    </row>
    <row r="61" spans="1:17" x14ac:dyDescent="0.3">
      <c r="A61" s="64"/>
      <c r="B61" s="396"/>
      <c r="C61" s="263" t="s">
        <v>27</v>
      </c>
      <c r="D61" s="8"/>
      <c r="E61" s="8"/>
      <c r="F61" s="8"/>
      <c r="G61" s="11"/>
      <c r="H61" s="349">
        <f>'Formula Audit'!C9</f>
        <v>2025</v>
      </c>
      <c r="I61" s="349">
        <f>'Formula Audit'!D9</f>
        <v>2026</v>
      </c>
      <c r="J61" s="349">
        <f>'Formula Audit'!E9</f>
        <v>2027</v>
      </c>
      <c r="K61" s="349">
        <f>'Formula Audit'!F9</f>
        <v>2028</v>
      </c>
      <c r="L61" s="349">
        <f>'Formula Audit'!G9</f>
        <v>2029</v>
      </c>
      <c r="M61" s="349">
        <f>'Formula Audit'!H9</f>
        <v>2030</v>
      </c>
      <c r="N61" s="349">
        <f>'Formula Audit'!I9</f>
        <v>2031</v>
      </c>
      <c r="O61" s="349">
        <f>'Formula Audit'!J9</f>
        <v>2032</v>
      </c>
      <c r="P61" s="349">
        <f>'Formula Audit'!K9</f>
        <v>2033</v>
      </c>
      <c r="Q61" s="349">
        <f>'Formula Audit'!L9</f>
        <v>2034</v>
      </c>
    </row>
    <row r="62" spans="1:17" x14ac:dyDescent="0.3">
      <c r="A62" s="64"/>
      <c r="B62" s="398"/>
      <c r="C62" s="27"/>
      <c r="D62" s="220" t="s">
        <v>98</v>
      </c>
      <c r="E62" s="27"/>
      <c r="F62" s="27"/>
      <c r="G62" s="27"/>
      <c r="H62" s="331">
        <f>'Forecast Model'!H219</f>
        <v>402045.22406400001</v>
      </c>
      <c r="I62" s="332">
        <f>'Forecast Model'!I219</f>
        <v>428989.89293554518</v>
      </c>
      <c r="J62" s="332">
        <f>'Forecast Model'!J219</f>
        <v>452948.5494661025</v>
      </c>
      <c r="K62" s="332">
        <f>'Forecast Model'!K219</f>
        <v>473185.83770769846</v>
      </c>
      <c r="L62" s="332">
        <f>'Forecast Model'!L219</f>
        <v>489042.29512928339</v>
      </c>
      <c r="M62" s="332">
        <f>'Forecast Model'!M219</f>
        <v>505430.1024390657</v>
      </c>
      <c r="N62" s="332">
        <f>'Forecast Model'!N219</f>
        <v>516721.41092755436</v>
      </c>
      <c r="O62" s="332">
        <f>'Forecast Model'!O219</f>
        <v>528264.96724767599</v>
      </c>
      <c r="P62" s="332">
        <f>'Forecast Model'!P219</f>
        <v>540066.40661598905</v>
      </c>
      <c r="Q62" s="343">
        <f>'Forecast Model'!Q219</f>
        <v>552131.49013979023</v>
      </c>
    </row>
    <row r="63" spans="1:17" x14ac:dyDescent="0.3">
      <c r="A63" s="64"/>
      <c r="B63" s="396"/>
      <c r="C63" s="12"/>
      <c r="D63" s="216" t="s">
        <v>256</v>
      </c>
      <c r="E63" s="12"/>
      <c r="F63" s="12"/>
      <c r="G63" s="12"/>
      <c r="H63" s="243">
        <f>H62-H70</f>
        <v>149382.15857373321</v>
      </c>
      <c r="I63" s="243">
        <f>I62-I70</f>
        <v>132248.21290814871</v>
      </c>
      <c r="J63" s="243">
        <f>J62-J70</f>
        <v>151102.15463922673</v>
      </c>
      <c r="K63" s="243">
        <f>K62-K70</f>
        <v>167738.38437692646</v>
      </c>
      <c r="L63" s="243">
        <f>L62-L70</f>
        <v>174490.74679310306</v>
      </c>
      <c r="M63" s="243">
        <f>M62-M70</f>
        <v>189416.33634049864</v>
      </c>
      <c r="N63" s="243">
        <f>N62-N70</f>
        <v>196876.1968612491</v>
      </c>
      <c r="O63" s="243">
        <f>O62-O70</f>
        <v>213693.38073007669</v>
      </c>
      <c r="P63" s="243">
        <f>P62-P70</f>
        <v>220089.65151099407</v>
      </c>
      <c r="Q63" s="323">
        <f>Q62-Q70</f>
        <v>229581.08192952652</v>
      </c>
    </row>
    <row r="64" spans="1:17" x14ac:dyDescent="0.3">
      <c r="A64" s="64"/>
      <c r="B64" s="396"/>
      <c r="C64" s="216" t="s">
        <v>257</v>
      </c>
      <c r="D64" s="12"/>
      <c r="E64" s="12"/>
      <c r="F64" s="12"/>
      <c r="G64" s="12"/>
      <c r="H64" s="320">
        <f>IFERROR(H63/H62,"")</f>
        <v>0.37155561024635786</v>
      </c>
      <c r="I64" s="320">
        <f>IFERROR(I63/I62,"")</f>
        <v>0.30827815546698373</v>
      </c>
      <c r="J64" s="320">
        <f>IFERROR(J63/J62,"")</f>
        <v>0.33359672929151268</v>
      </c>
      <c r="K64" s="320">
        <f>IFERROR(K63/K62,"")</f>
        <v>0.35448733036795504</v>
      </c>
      <c r="L64" s="320">
        <f>IFERROR(L63/L62,"")</f>
        <v>0.35680093221175202</v>
      </c>
      <c r="M64" s="320">
        <f>IFERROR(M63/M62,"")</f>
        <v>0.37476267326862384</v>
      </c>
      <c r="N64" s="320">
        <f>IFERROR(N63/N62,"")</f>
        <v>0.38101033303001963</v>
      </c>
      <c r="O64" s="320">
        <f>IFERROR(O63/O62,"")</f>
        <v>0.40451931129078067</v>
      </c>
      <c r="P64" s="320">
        <f>IFERROR(P63/P62,"")</f>
        <v>0.40752331345705695</v>
      </c>
      <c r="Q64" s="322">
        <f>IFERROR(Q63/Q62,"")</f>
        <v>0.41580870866720632</v>
      </c>
    </row>
    <row r="65" spans="1:17" x14ac:dyDescent="0.3">
      <c r="A65" s="64"/>
      <c r="B65" s="396"/>
      <c r="C65" s="12"/>
      <c r="D65" s="12"/>
      <c r="E65" s="12"/>
      <c r="F65" s="12"/>
      <c r="G65" s="12"/>
      <c r="H65" s="89"/>
      <c r="I65" s="90"/>
      <c r="J65" s="90"/>
      <c r="K65" s="90"/>
      <c r="L65" s="90"/>
      <c r="M65" s="90"/>
      <c r="N65" s="90"/>
      <c r="O65" s="90"/>
      <c r="P65" s="90"/>
      <c r="Q65" s="91"/>
    </row>
    <row r="66" spans="1:17" x14ac:dyDescent="0.3">
      <c r="A66" s="64"/>
      <c r="B66" s="396"/>
      <c r="C66" s="12"/>
      <c r="D66" s="216" t="s">
        <v>188</v>
      </c>
      <c r="E66" s="12"/>
      <c r="F66" s="12"/>
      <c r="G66" s="12"/>
      <c r="H66" s="305">
        <f>'Forecast Model'!H225</f>
        <v>222836.09936974532</v>
      </c>
      <c r="I66" s="306">
        <f>'Forecast Model'!I225</f>
        <v>265471.71143711964</v>
      </c>
      <c r="J66" s="306">
        <f>'Forecast Model'!J225</f>
        <v>271159.18979568756</v>
      </c>
      <c r="K66" s="306">
        <f>'Forecast Model'!K225</f>
        <v>273378.5010770951</v>
      </c>
      <c r="L66" s="306">
        <f>'Forecast Model'!L225</f>
        <v>280401.47916783631</v>
      </c>
      <c r="M66" s="306">
        <f>'Forecast Model'!M225</f>
        <v>279227.33050453314</v>
      </c>
      <c r="N66" s="306">
        <f>'Forecast Model'!N225</f>
        <v>285465.26906800439</v>
      </c>
      <c r="O66" s="306">
        <f>'Forecast Model'!O225</f>
        <v>280794.34621921444</v>
      </c>
      <c r="P66" s="306">
        <f>'Forecast Model'!P225</f>
        <v>287067.29191375163</v>
      </c>
      <c r="Q66" s="307">
        <f>'Forecast Model'!Q225</f>
        <v>290659.2704839097</v>
      </c>
    </row>
    <row r="67" spans="1:17" x14ac:dyDescent="0.3">
      <c r="A67" s="64"/>
      <c r="B67" s="396"/>
      <c r="C67" s="12"/>
      <c r="D67" s="216" t="s">
        <v>65</v>
      </c>
      <c r="E67" s="12"/>
      <c r="F67" s="12"/>
      <c r="G67" s="12"/>
      <c r="H67" s="305">
        <f>'Forecast Model'!H231</f>
        <v>18330.849945974016</v>
      </c>
      <c r="I67" s="306">
        <f>'Forecast Model'!I231</f>
        <v>19559.365178503249</v>
      </c>
      <c r="J67" s="306">
        <f>'Forecast Model'!J231</f>
        <v>18070.382380950159</v>
      </c>
      <c r="K67" s="306">
        <f>'Forecast Model'!K231</f>
        <v>18877.748995348629</v>
      </c>
      <c r="L67" s="306">
        <f>'Forecast Model'!L231</f>
        <v>19510.342364182761</v>
      </c>
      <c r="M67" s="306">
        <f>'Forecast Model'!M231</f>
        <v>20164.133936806527</v>
      </c>
      <c r="N67" s="306">
        <f>'Forecast Model'!N231</f>
        <v>17669.288646667723</v>
      </c>
      <c r="O67" s="306">
        <f>'Forecast Model'!O231</f>
        <v>18064.020555034283</v>
      </c>
      <c r="P67" s="306">
        <f>'Forecast Model'!P231</f>
        <v>18467.570774233747</v>
      </c>
      <c r="Q67" s="307">
        <f>'Forecast Model'!Q231</f>
        <v>18880.136305330128</v>
      </c>
    </row>
    <row r="68" spans="1:17" x14ac:dyDescent="0.3">
      <c r="A68" s="64"/>
      <c r="B68" s="396"/>
      <c r="C68" s="12"/>
      <c r="D68" s="216" t="s">
        <v>67</v>
      </c>
      <c r="E68" s="12"/>
      <c r="F68" s="12"/>
      <c r="G68" s="12"/>
      <c r="H68" s="305">
        <f>'Forecast Model'!H233</f>
        <v>2836.027010547456</v>
      </c>
      <c r="I68" s="306">
        <f>'Forecast Model'!I233</f>
        <v>3026.0947047673358</v>
      </c>
      <c r="J68" s="306">
        <f>'Forecast Model'!J233</f>
        <v>3195.099067933887</v>
      </c>
      <c r="K68" s="306">
        <f>'Forecast Model'!K233</f>
        <v>3337.8528991901053</v>
      </c>
      <c r="L68" s="306">
        <f>'Forecast Model'!L233</f>
        <v>3449.7043498419653</v>
      </c>
      <c r="M68" s="306">
        <f>'Forecast Model'!M233</f>
        <v>3565.3039426051696</v>
      </c>
      <c r="N68" s="306">
        <f>'Forecast Model'!N233</f>
        <v>3644.9528326829686</v>
      </c>
      <c r="O68" s="306">
        <f>'Forecast Model'!O233</f>
        <v>3726.3810789651066</v>
      </c>
      <c r="P68" s="306">
        <f>'Forecast Model'!P233</f>
        <v>3809.6284322691868</v>
      </c>
      <c r="Q68" s="307">
        <f>'Forecast Model'!Q233</f>
        <v>3894.7355314460806</v>
      </c>
    </row>
    <row r="69" spans="1:17" x14ac:dyDescent="0.3">
      <c r="A69" s="64"/>
      <c r="B69" s="396"/>
      <c r="C69" s="12"/>
      <c r="D69" s="216" t="s">
        <v>68</v>
      </c>
      <c r="E69" s="12"/>
      <c r="F69" s="12"/>
      <c r="G69" s="12"/>
      <c r="H69" s="305">
        <f>'Forecast Model'!H234</f>
        <v>8660.0891640000009</v>
      </c>
      <c r="I69" s="306">
        <f>'Forecast Model'!I234</f>
        <v>8684.5087070062164</v>
      </c>
      <c r="J69" s="306">
        <f>'Forecast Model'!J234</f>
        <v>9421.723582304121</v>
      </c>
      <c r="K69" s="306">
        <f>'Forecast Model'!K234</f>
        <v>9853.350359138165</v>
      </c>
      <c r="L69" s="306">
        <f>'Forecast Model'!L234</f>
        <v>11190.022454319289</v>
      </c>
      <c r="M69" s="306">
        <f>'Forecast Model'!M234</f>
        <v>13056.997714622221</v>
      </c>
      <c r="N69" s="306">
        <f>'Forecast Model'!N234</f>
        <v>13065.703518950162</v>
      </c>
      <c r="O69" s="306">
        <f>'Forecast Model'!O234</f>
        <v>11986.838664385497</v>
      </c>
      <c r="P69" s="306">
        <f>'Forecast Model'!P234</f>
        <v>10632.263984740413</v>
      </c>
      <c r="Q69" s="307">
        <f>'Forecast Model'!Q234</f>
        <v>9116.2658895777713</v>
      </c>
    </row>
    <row r="70" spans="1:17" x14ac:dyDescent="0.3">
      <c r="A70" s="64"/>
      <c r="B70" s="398"/>
      <c r="C70" s="220" t="s">
        <v>258</v>
      </c>
      <c r="D70" s="27"/>
      <c r="E70" s="27"/>
      <c r="F70" s="27"/>
      <c r="G70" s="27"/>
      <c r="H70" s="318">
        <f>SUM(H66:H69)</f>
        <v>252663.0654902668</v>
      </c>
      <c r="I70" s="299">
        <f>SUM(I66:I69)</f>
        <v>296741.68002739648</v>
      </c>
      <c r="J70" s="299">
        <f>SUM(J66:J69)</f>
        <v>301846.39482687577</v>
      </c>
      <c r="K70" s="299">
        <f>SUM(K66:K69)</f>
        <v>305447.453330772</v>
      </c>
      <c r="L70" s="299">
        <f>SUM(L66:L69)</f>
        <v>314551.54833618033</v>
      </c>
      <c r="M70" s="299">
        <f>SUM(M66:M69)</f>
        <v>316013.76609856705</v>
      </c>
      <c r="N70" s="299">
        <f>SUM(N66:N69)</f>
        <v>319845.21406630526</v>
      </c>
      <c r="O70" s="299">
        <f>SUM(O66:O69)</f>
        <v>314571.58651759929</v>
      </c>
      <c r="P70" s="299">
        <f>SUM(P66:P69)</f>
        <v>319976.75510499498</v>
      </c>
      <c r="Q70" s="300">
        <f>SUM(Q66:Q69)</f>
        <v>322550.4082102637</v>
      </c>
    </row>
    <row r="71" spans="1:17" x14ac:dyDescent="0.3">
      <c r="A71" s="64"/>
      <c r="B71" s="396"/>
      <c r="C71" s="12"/>
      <c r="D71" s="12"/>
      <c r="E71" s="12"/>
      <c r="F71" s="12"/>
      <c r="G71" s="12"/>
      <c r="H71" s="89"/>
      <c r="I71" s="90"/>
      <c r="J71" s="90"/>
      <c r="K71" s="90"/>
      <c r="L71" s="90"/>
      <c r="M71" s="90"/>
      <c r="N71" s="90"/>
      <c r="O71" s="90"/>
      <c r="P71" s="90"/>
      <c r="Q71" s="91"/>
    </row>
    <row r="72" spans="1:17" x14ac:dyDescent="0.3">
      <c r="A72" s="64"/>
      <c r="B72" s="396"/>
      <c r="C72" s="12"/>
      <c r="D72" s="216" t="s">
        <v>64</v>
      </c>
      <c r="E72" s="12"/>
      <c r="F72" s="12"/>
      <c r="G72" s="12"/>
      <c r="H72" s="305">
        <f>'Forecast Model'!H230</f>
        <v>58749</v>
      </c>
      <c r="I72" s="306">
        <f>'Forecast Model'!I230</f>
        <v>58749</v>
      </c>
      <c r="J72" s="306">
        <f>'Forecast Model'!J230</f>
        <v>58749</v>
      </c>
      <c r="K72" s="306">
        <f>'Forecast Model'!K230</f>
        <v>58749</v>
      </c>
      <c r="L72" s="306">
        <f>'Forecast Model'!L230</f>
        <v>58749</v>
      </c>
      <c r="M72" s="306">
        <f>'Forecast Model'!M230</f>
        <v>58749</v>
      </c>
      <c r="N72" s="306">
        <f>'Forecast Model'!N230</f>
        <v>58749</v>
      </c>
      <c r="O72" s="306">
        <f>'Forecast Model'!O230</f>
        <v>58749</v>
      </c>
      <c r="P72" s="306">
        <f>'Forecast Model'!P230</f>
        <v>58749</v>
      </c>
      <c r="Q72" s="307">
        <f>'Forecast Model'!Q230</f>
        <v>58749</v>
      </c>
    </row>
    <row r="73" spans="1:17" x14ac:dyDescent="0.3">
      <c r="A73" s="64"/>
      <c r="B73" s="396"/>
      <c r="C73" s="12"/>
      <c r="D73" s="216" t="s">
        <v>66</v>
      </c>
      <c r="E73" s="12"/>
      <c r="F73" s="12"/>
      <c r="G73" s="12"/>
      <c r="H73" s="305">
        <f>'Forecast Model'!H232</f>
        <v>34134.999999999993</v>
      </c>
      <c r="I73" s="306">
        <f>'Forecast Model'!I232</f>
        <v>34135</v>
      </c>
      <c r="J73" s="306">
        <f>'Forecast Model'!J232</f>
        <v>34135</v>
      </c>
      <c r="K73" s="306">
        <f>'Forecast Model'!K232</f>
        <v>34135</v>
      </c>
      <c r="L73" s="306">
        <f>'Forecast Model'!L232</f>
        <v>34135</v>
      </c>
      <c r="M73" s="306">
        <f>'Forecast Model'!M232</f>
        <v>34135</v>
      </c>
      <c r="N73" s="306">
        <f>'Forecast Model'!N232</f>
        <v>34135</v>
      </c>
      <c r="O73" s="306">
        <f>'Forecast Model'!O232</f>
        <v>34135</v>
      </c>
      <c r="P73" s="306">
        <f>'Forecast Model'!P232</f>
        <v>34135</v>
      </c>
      <c r="Q73" s="307">
        <f>'Forecast Model'!Q232</f>
        <v>34135</v>
      </c>
    </row>
    <row r="74" spans="1:17" x14ac:dyDescent="0.3">
      <c r="A74" s="64"/>
      <c r="B74" s="398"/>
      <c r="C74" s="220" t="s">
        <v>259</v>
      </c>
      <c r="D74" s="27"/>
      <c r="E74" s="27"/>
      <c r="F74" s="27"/>
      <c r="G74" s="27"/>
      <c r="H74" s="318">
        <f>SUM(H72:H73)</f>
        <v>92884</v>
      </c>
      <c r="I74" s="299">
        <f>SUM(I72:I73)</f>
        <v>92884</v>
      </c>
      <c r="J74" s="299">
        <f>SUM(J72:J73)</f>
        <v>92884</v>
      </c>
      <c r="K74" s="299">
        <f>SUM(K72:K73)</f>
        <v>92884</v>
      </c>
      <c r="L74" s="299">
        <f>SUM(L72:L73)</f>
        <v>92884</v>
      </c>
      <c r="M74" s="299">
        <f>SUM(M72:M73)</f>
        <v>92884</v>
      </c>
      <c r="N74" s="299">
        <f>SUM(N72:N73)</f>
        <v>92884</v>
      </c>
      <c r="O74" s="299">
        <f>SUM(O72:O73)</f>
        <v>92884</v>
      </c>
      <c r="P74" s="299">
        <f>SUM(P72:P73)</f>
        <v>92884</v>
      </c>
      <c r="Q74" s="300">
        <f>SUM(Q72:Q73)</f>
        <v>92884</v>
      </c>
    </row>
    <row r="75" spans="1:17" x14ac:dyDescent="0.3">
      <c r="A75" s="64"/>
      <c r="B75" s="396"/>
      <c r="C75" s="12"/>
      <c r="D75" s="12"/>
      <c r="E75" s="12"/>
      <c r="F75" s="12"/>
      <c r="G75" s="12"/>
      <c r="H75" s="89"/>
      <c r="I75" s="90"/>
      <c r="J75" s="90"/>
      <c r="K75" s="90"/>
      <c r="L75" s="90"/>
      <c r="M75" s="90"/>
      <c r="N75" s="90"/>
      <c r="O75" s="90"/>
      <c r="P75" s="90"/>
      <c r="Q75" s="91"/>
    </row>
    <row r="76" spans="1:17" x14ac:dyDescent="0.3">
      <c r="A76" s="64"/>
      <c r="B76" s="396"/>
      <c r="C76" s="41"/>
      <c r="D76" s="344" t="s">
        <v>260</v>
      </c>
      <c r="E76" s="41"/>
      <c r="F76" s="41"/>
      <c r="G76" s="10"/>
      <c r="H76" s="350">
        <f>H74/H64</f>
        <v>249986.80530866911</v>
      </c>
      <c r="I76" s="350">
        <f>IFERROR(I74/I64,"")</f>
        <v>301299.32449900033</v>
      </c>
      <c r="J76" s="350">
        <f>IFERROR(J74/J64,"")</f>
        <v>278431.98642044701</v>
      </c>
      <c r="K76" s="350">
        <f>IFERROR(K74/K64,"")</f>
        <v>262023.46894481996</v>
      </c>
      <c r="L76" s="350">
        <f>IFERROR(L74/L64,"")</f>
        <v>260324.43195769392</v>
      </c>
      <c r="M76" s="350">
        <f>IFERROR(M74/M64,"")</f>
        <v>247847.52224622501</v>
      </c>
      <c r="N76" s="350">
        <f>IFERROR(N74/N64,"")</f>
        <v>243783.41464214755</v>
      </c>
      <c r="O76" s="350">
        <f>IFERROR(O74/O64,"")</f>
        <v>229615.73751229933</v>
      </c>
      <c r="P76" s="350">
        <f>IFERROR(P74/P64,"")</f>
        <v>227923.15662153575</v>
      </c>
      <c r="Q76" s="350">
        <f>IFERROR(Q74/Q64,"")</f>
        <v>223381.56480108734</v>
      </c>
    </row>
    <row r="77" spans="1:17" x14ac:dyDescent="0.3">
      <c r="A77" s="64"/>
      <c r="B77" s="396"/>
      <c r="C77" s="20"/>
      <c r="D77" s="211" t="s">
        <v>261</v>
      </c>
      <c r="E77" s="20"/>
      <c r="F77" s="20"/>
      <c r="G77" s="184"/>
      <c r="H77" s="363">
        <f>IFERROR(H76/12,"")</f>
        <v>20832.233775722427</v>
      </c>
      <c r="I77" s="363">
        <f>IFERROR(I76/12,"")</f>
        <v>25108.277041583362</v>
      </c>
      <c r="J77" s="363">
        <f>IFERROR(J76/12,"")</f>
        <v>23202.665535037249</v>
      </c>
      <c r="K77" s="363">
        <f>IFERROR(K76/12,"")</f>
        <v>21835.289078734997</v>
      </c>
      <c r="L77" s="363">
        <f>IFERROR(L76/12,"")</f>
        <v>21693.702663141161</v>
      </c>
      <c r="M77" s="363">
        <f>IFERROR(M76/12,"")</f>
        <v>20653.960187185417</v>
      </c>
      <c r="N77" s="363">
        <f>IFERROR(N76/12,"")</f>
        <v>20315.284553512294</v>
      </c>
      <c r="O77" s="363">
        <f>IFERROR(O76/12,"")</f>
        <v>19134.644792691612</v>
      </c>
      <c r="P77" s="363">
        <f>IFERROR(P76/12,"")</f>
        <v>18993.596385127978</v>
      </c>
      <c r="Q77" s="363">
        <f>IFERROR(Q76/12,"")</f>
        <v>18615.130400090613</v>
      </c>
    </row>
    <row r="78" spans="1:17" x14ac:dyDescent="0.3">
      <c r="A78" s="64"/>
      <c r="B78" s="396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3">
      <c r="A79" s="64"/>
      <c r="B79" s="396"/>
      <c r="C79" s="396"/>
      <c r="D79" s="11"/>
      <c r="E79" s="11"/>
      <c r="F79" s="11"/>
      <c r="G79" s="11"/>
      <c r="H79" s="71"/>
      <c r="I79" s="71"/>
      <c r="J79" s="71"/>
      <c r="K79" s="71"/>
      <c r="L79" s="71"/>
      <c r="M79" s="71"/>
      <c r="N79" s="71"/>
      <c r="O79" s="71"/>
      <c r="P79" s="71"/>
      <c r="Q79" s="71"/>
    </row>
    <row r="80" spans="1:17" ht="15" thickBot="1" x14ac:dyDescent="0.35">
      <c r="A80" s="64"/>
      <c r="B80" s="396"/>
      <c r="C80" s="11"/>
      <c r="D80" s="185"/>
      <c r="E80" s="345" t="s">
        <v>175</v>
      </c>
      <c r="F80" s="346">
        <v>2027</v>
      </c>
      <c r="G80" s="186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3">
      <c r="A81" s="64"/>
      <c r="B81" s="396"/>
      <c r="C81" s="11"/>
      <c r="D81" s="216" t="s">
        <v>262</v>
      </c>
      <c r="E81" s="12"/>
      <c r="F81" s="262">
        <f>'Formula Audit'!M176</f>
        <v>1553.5964919566491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3">
      <c r="A82" s="64"/>
      <c r="B82" s="396"/>
      <c r="C82" s="11"/>
      <c r="D82" s="216" t="s">
        <v>259</v>
      </c>
      <c r="E82" s="12"/>
      <c r="F82" s="262">
        <f>'Formula Audit'!M177</f>
        <v>92884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3">
      <c r="A83" s="64"/>
      <c r="B83" s="396"/>
      <c r="C83" s="11"/>
      <c r="D83" s="216" t="s">
        <v>258</v>
      </c>
      <c r="E83" s="12"/>
      <c r="F83" s="262">
        <f>'Formula Audit'!M178</f>
        <v>194.28879788903279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x14ac:dyDescent="0.3">
      <c r="A84" s="64"/>
      <c r="B84" s="396"/>
      <c r="C84" s="11"/>
      <c r="D84" s="216" t="s">
        <v>263</v>
      </c>
      <c r="E84" s="12"/>
      <c r="F84" s="262">
        <f>'Formula Audit'!M179</f>
        <v>291.54838583321248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x14ac:dyDescent="0.3">
      <c r="A85" s="64"/>
      <c r="B85" s="396"/>
      <c r="C85" s="11"/>
      <c r="D85" s="216" t="s">
        <v>264</v>
      </c>
      <c r="E85" s="12"/>
      <c r="F85" s="262">
        <f>'Formula Audit'!M180</f>
        <v>97.259587944179671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x14ac:dyDescent="0.3">
      <c r="A86" s="64"/>
      <c r="B86" s="396"/>
      <c r="C86" s="11"/>
      <c r="D86" s="216" t="s">
        <v>257</v>
      </c>
      <c r="E86" s="12"/>
      <c r="F86" s="188">
        <f>'Formula Audit'!M181</f>
        <v>0.33359672929151268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x14ac:dyDescent="0.3">
      <c r="A87" s="64"/>
      <c r="B87" s="396"/>
      <c r="C87" s="11"/>
      <c r="D87" s="216" t="s">
        <v>265</v>
      </c>
      <c r="E87" s="12"/>
      <c r="F87" s="262">
        <f>'Formula Audit'!M182</f>
        <v>955.01124324430646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" thickBot="1" x14ac:dyDescent="0.35">
      <c r="A88" s="64"/>
      <c r="B88" s="396"/>
      <c r="C88" s="11"/>
      <c r="D88" s="347" t="str">
        <f>"Breakeven Point"&amp;" "&amp;"("&amp;'Control Center'!F10&amp;")"</f>
        <v>Breakeven Point (USD)</v>
      </c>
      <c r="E88" s="187"/>
      <c r="F88" s="347">
        <f>'Formula Audit'!M183</f>
        <v>278431.98642044701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</sheetData>
  <mergeCells count="5">
    <mergeCell ref="C47:E47"/>
    <mergeCell ref="M27:M33"/>
    <mergeCell ref="O26:T27"/>
    <mergeCell ref="B2:T2"/>
    <mergeCell ref="B56:Q56"/>
  </mergeCells>
  <conditionalFormatting sqref="C47:E47">
    <cfRule type="expression" dxfId="3" priority="1">
      <formula>$K$47&lt;5%</formula>
    </cfRule>
    <cfRule type="expression" dxfId="2" priority="2">
      <formula>AND($K$47&gt;=5%, $K$47&lt;10%)</formula>
    </cfRule>
    <cfRule type="expression" dxfId="1" priority="3">
      <formula>AND($K$47&gt;=10%, $K$47&lt;15%)</formula>
    </cfRule>
    <cfRule type="expression" dxfId="0" priority="4">
      <formula>$K$47&gt;=15%</formula>
    </cfRule>
  </conditionalFormatting>
  <dataValidations count="1">
    <dataValidation showInputMessage="1" showErrorMessage="1" sqref="E6 F60" xr:uid="{6C762AE7-DEEC-4CE3-BBB5-73EA021C83CF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54DB7-E931-4D45-B501-4D1C335C0E62}">
          <x14:formula1>
            <xm:f>'Formula Audit'!$C$9:$L$9</xm:f>
          </x14:formula1>
          <xm:sqref>F80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C068D3D8-B1EA-4210-BB42-98F38F7CED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Breakeven'!H63:Q63</xm:f>
              <xm:sqref>G63</xm:sqref>
            </x14:sparkline>
          </x14:sparklines>
        </x14:sparklineGroup>
        <x14:sparklineGroup type="column" displayEmptyCellsAs="gap" negative="1" xr2:uid="{E3BBDABC-87F2-465E-B490-4C14F97F648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Breakeven'!H66:Q66</xm:f>
              <xm:sqref>G66</xm:sqref>
            </x14:sparkline>
          </x14:sparklines>
        </x14:sparklineGroup>
        <x14:sparklineGroup type="column" displayEmptyCellsAs="gap" negative="1" xr2:uid="{658543F2-34E3-4C4E-81D7-0CBE69FAE8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Breakeven'!H67:Q67</xm:f>
              <xm:sqref>G67</xm:sqref>
            </x14:sparkline>
          </x14:sparklines>
        </x14:sparklineGroup>
        <x14:sparklineGroup type="column" displayEmptyCellsAs="gap" negative="1" xr2:uid="{2743B7B2-0345-4E44-B4E3-68C5C458E8F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Breakeven'!H68:Q68</xm:f>
              <xm:sqref>G68</xm:sqref>
            </x14:sparkline>
          </x14:sparklines>
        </x14:sparklineGroup>
        <x14:sparklineGroup type="column" displayEmptyCellsAs="gap" negative="1" xr2:uid="{7EE6D8BA-F1B5-4782-B54A-B8B7165378D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Breakeven'!H69:Q69</xm:f>
              <xm:sqref>G69</xm:sqref>
            </x14:sparkline>
          </x14:sparklines>
        </x14:sparklineGroup>
        <x14:sparklineGroup type="column" displayEmptyCellsAs="gap" negative="1" xr2:uid="{84399D60-A078-4751-B454-949B8295D75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Breakeven'!H70:Q70</xm:f>
              <xm:sqref>G70</xm:sqref>
            </x14:sparkline>
          </x14:sparklines>
        </x14:sparklineGroup>
        <x14:sparklineGroup type="column" displayEmptyCellsAs="gap" negative="1" xr2:uid="{A4BFFAE9-55CC-4381-8BA8-3795DDB094D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Breakeven'!H72:Q72</xm:f>
              <xm:sqref>G72</xm:sqref>
            </x14:sparkline>
          </x14:sparklines>
        </x14:sparklineGroup>
        <x14:sparklineGroup type="column" displayEmptyCellsAs="gap" negative="1" xr2:uid="{AFB294C7-3FCF-4FA3-AAF5-1CE8FD396E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Breakeven'!H73:Q73</xm:f>
              <xm:sqref>G73</xm:sqref>
            </x14:sparkline>
          </x14:sparklines>
        </x14:sparklineGroup>
        <x14:sparklineGroup type="column" displayEmptyCellsAs="gap" negative="1" xr2:uid="{DE50EE06-20A2-4549-A912-C13143DAE3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Breakeven'!H74:Q74</xm:f>
              <xm:sqref>G74</xm:sqref>
            </x14:sparkline>
          </x14:sparklines>
        </x14:sparklineGroup>
        <x14:sparklineGroup type="column" displayEmptyCellsAs="gap" negative="1" xr2:uid="{B425B53A-A6BF-4216-BDFC-D97C1DF5AF69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'Valuation &amp; Breakeven'!H76:Q76</xm:f>
              <xm:sqref>G76</xm:sqref>
            </x14:sparkline>
          </x14:sparklines>
        </x14:sparklineGroup>
        <x14:sparklineGroup type="column" displayEmptyCellsAs="gap" negative="1" xr2:uid="{4835CFBE-DB01-42B1-A8EE-8A1C681BA8B8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'Valuation &amp; Breakeven'!H77:Q77</xm:f>
              <xm:sqref>G77</xm:sqref>
            </x14:sparkline>
          </x14:sparklines>
        </x14:sparklineGroup>
        <x14:sparklineGroup type="column" displayEmptyCellsAs="gap" negative="1" xr2:uid="{8AD77BA6-B110-4BB4-AE9D-F44E6E24A3D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Breakeven'!H62:Q62</xm:f>
              <xm:sqref>G62</xm:sqref>
            </x14:sparkline>
          </x14:sparklines>
        </x14:sparklineGroup>
        <x14:sparklineGroup type="column" displayEmptyCellsAs="gap" negative="1" xr2:uid="{9279BDD4-018E-4E8A-B9B5-332221E423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Breakeven'!K11:T11</xm:f>
              <xm:sqref>I11</xm:sqref>
            </x14:sparkline>
          </x14:sparklines>
        </x14:sparklineGroup>
        <x14:sparklineGroup type="column" displayEmptyCellsAs="gap" negative="1" xr2:uid="{B4ED9BAF-F238-41A9-9477-D54C4DF0F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Breakeven'!K9:T9</xm:f>
              <xm:sqref>I9</xm:sqref>
            </x14:sparkline>
          </x14:sparklines>
        </x14:sparklineGroup>
        <x14:sparklineGroup type="column" displayEmptyCellsAs="gap" negative="1" xr2:uid="{1A2A4B5F-27F8-4AA4-854A-4852CAD15F2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Breakeven'!K10:T10</xm:f>
              <xm:sqref>I10</xm:sqref>
            </x14:sparkline>
          </x14:sparklines>
        </x14:sparklineGroup>
        <x14:sparklineGroup type="column" displayEmptyCellsAs="gap" negative="1" xr2:uid="{E5974205-C440-4F19-837C-20709F92A1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Breakeven'!K12:T12</xm:f>
              <xm:sqref>I12</xm:sqref>
            </x14:sparkline>
          </x14:sparklines>
        </x14:sparklineGroup>
        <x14:sparklineGroup type="column" displayEmptyCellsAs="gap" negative="1" xr2:uid="{19F528DB-69F8-4381-B2AF-4592B3FF231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Breakeven'!K13:T13</xm:f>
              <xm:sqref>I13</xm:sqref>
            </x14:sparkline>
          </x14:sparklines>
        </x14:sparklineGroup>
        <x14:sparklineGroup type="column" displayEmptyCellsAs="gap" negative="1" xr2:uid="{57C3B450-934E-4EDE-9AC2-E276FA6214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Breakeven'!K14:T14</xm:f>
              <xm:sqref>I14</xm:sqref>
            </x14:sparkline>
          </x14:sparklines>
        </x14:sparklineGroup>
        <x14:sparklineGroup type="column" displayEmptyCellsAs="gap" negative="1" xr2:uid="{18D8FEF1-139E-4442-BBA3-783B2D5BF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Breakeven'!K15:T15</xm:f>
              <xm:sqref>I15</xm:sqref>
            </x14:sparkline>
          </x14:sparklines>
        </x14:sparklineGroup>
        <x14:sparklineGroup type="column" displayEmptyCellsAs="gap" negative="1" xr2:uid="{ED98ED11-499B-4144-B144-7BE171E10A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Breakeven'!K16:T16</xm:f>
              <xm:sqref>I16</xm:sqref>
            </x14:sparkline>
          </x14:sparklines>
        </x14:sparklineGroup>
        <x14:sparklineGroup type="column" displayEmptyCellsAs="gap" negative="1" xr2:uid="{4F1D050D-3AFB-4EC4-81FA-84F9B260A8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Breakeven'!K17:T17</xm:f>
              <xm:sqref>I17</xm:sqref>
            </x14:sparkline>
          </x14:sparklines>
        </x14:sparklineGroup>
        <x14:sparklineGroup type="column" displayEmptyCellsAs="gap" negative="1" xr2:uid="{F99F666E-D67D-4648-96CD-C0DBC47C56A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Breakeven'!K19:T19</xm:f>
              <xm:sqref>I19</xm:sqref>
            </x14:sparkline>
          </x14:sparklines>
        </x14:sparklineGroup>
        <x14:sparklineGroup type="column" displayEmptyCellsAs="gap" negative="1" xr2:uid="{FB7CF38B-CCBC-41BE-B06C-861D47BED5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'Valuation &amp; Breakeven'!K22:T22</xm:f>
              <xm:sqref>I22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6EF3-26A1-4109-9BD4-44656595375A}">
  <dimension ref="A1:V324"/>
  <sheetViews>
    <sheetView workbookViewId="0"/>
  </sheetViews>
  <sheetFormatPr defaultRowHeight="14.4" x14ac:dyDescent="0.3"/>
  <cols>
    <col min="1" max="1" width="6.5546875" customWidth="1"/>
    <col min="2" max="2" width="31.21875" customWidth="1"/>
    <col min="3" max="3" width="13.77734375" customWidth="1"/>
    <col min="4" max="4" width="11.77734375" customWidth="1"/>
    <col min="5" max="5" width="10.109375" customWidth="1"/>
    <col min="6" max="6" width="12.5546875" customWidth="1"/>
    <col min="7" max="7" width="10.77734375" customWidth="1"/>
    <col min="8" max="8" width="10.109375" customWidth="1"/>
    <col min="9" max="9" width="13.77734375" customWidth="1"/>
    <col min="10" max="10" width="10.5546875" customWidth="1"/>
    <col min="11" max="11" width="11.21875" customWidth="1"/>
    <col min="12" max="12" width="10.5546875" customWidth="1"/>
    <col min="13" max="13" width="10.88671875" customWidth="1"/>
    <col min="14" max="14" width="10.77734375" customWidth="1"/>
    <col min="15" max="15" width="10.5546875" customWidth="1"/>
    <col min="16" max="18" width="13.77734375" customWidth="1"/>
    <col min="19" max="19" width="5.21875" customWidth="1"/>
    <col min="20" max="20" width="10.109375" customWidth="1"/>
    <col min="21" max="21" width="18.77734375" customWidth="1"/>
    <col min="22" max="22" width="18.5546875" customWidth="1"/>
  </cols>
  <sheetData>
    <row r="1" spans="1:22" x14ac:dyDescent="0.3">
      <c r="A1" s="370" t="s">
        <v>0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</row>
    <row r="2" spans="1:22" x14ac:dyDescent="0.3">
      <c r="A2" s="370"/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</row>
    <row r="3" spans="1:22" x14ac:dyDescent="0.3">
      <c r="A3" s="371" t="str">
        <f>"Figures in"&amp;" "&amp;'Control Center'!F10</f>
        <v>Figures in USD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 t="s">
        <v>266</v>
      </c>
      <c r="U3" s="370" t="s">
        <v>222</v>
      </c>
      <c r="V3" s="370" t="s">
        <v>235</v>
      </c>
    </row>
    <row r="4" spans="1:22" x14ac:dyDescent="0.3">
      <c r="A4" s="370" t="s">
        <v>267</v>
      </c>
      <c r="B4" s="370"/>
      <c r="C4" s="370" t="s">
        <v>51</v>
      </c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2">
        <f>$A$19</f>
        <v>6.4343053776308445E-2</v>
      </c>
      <c r="U4" s="371">
        <f>$A$14</f>
        <v>1.195417</v>
      </c>
      <c r="V4" s="371">
        <f>N19</f>
        <v>-679429.14806588087</v>
      </c>
    </row>
    <row r="5" spans="1:22" x14ac:dyDescent="0.3">
      <c r="A5" s="370"/>
      <c r="B5" s="370"/>
      <c r="C5" s="370" t="s">
        <v>268</v>
      </c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2">
        <f>$A$19</f>
        <v>6.4343053776308445E-2</v>
      </c>
      <c r="U5" s="371">
        <f>$A$15</f>
        <v>2.195417</v>
      </c>
      <c r="V5" s="371">
        <f>N20</f>
        <v>-627809.1670388428</v>
      </c>
    </row>
    <row r="6" spans="1:22" x14ac:dyDescent="0.3">
      <c r="A6" s="370"/>
      <c r="B6" s="370"/>
      <c r="C6" s="370" t="s">
        <v>269</v>
      </c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2">
        <f>$A$19</f>
        <v>6.4343053776308445E-2</v>
      </c>
      <c r="U6" s="371">
        <f>$A$16</f>
        <v>3.195417</v>
      </c>
      <c r="V6" s="371">
        <f>N21</f>
        <v>-584879.21342625958</v>
      </c>
    </row>
    <row r="7" spans="1:22" x14ac:dyDescent="0.3">
      <c r="A7" s="370" t="s">
        <v>34</v>
      </c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2">
        <f>$A$19</f>
        <v>6.4343053776308445E-2</v>
      </c>
      <c r="U7" s="371">
        <f>$A$17</f>
        <v>4.195417</v>
      </c>
      <c r="V7" s="371">
        <f>N22</f>
        <v>-549471.87821197347</v>
      </c>
    </row>
    <row r="8" spans="1:22" x14ac:dyDescent="0.3">
      <c r="A8" s="370" t="s">
        <v>270</v>
      </c>
      <c r="B8" s="370"/>
      <c r="C8" s="371">
        <f>IF(('Control Center'!$F$9-COUNTBLANK($B2:B2))&gt;=0,1,0)</f>
        <v>1</v>
      </c>
      <c r="D8" s="371">
        <f>IF(('Control Center'!$F$9-COUNTBLANK($B2:C2))&gt;=0,1,0)</f>
        <v>1</v>
      </c>
      <c r="E8" s="371">
        <f>IF(('Control Center'!$F$9-COUNTBLANK($B2:D2))&gt;=0,1,0)</f>
        <v>1</v>
      </c>
      <c r="F8" s="371">
        <f>IF(('Control Center'!$F$9-COUNTBLANK($B2:E2))&gt;=0,1,0)</f>
        <v>1</v>
      </c>
      <c r="G8" s="371">
        <f>IF(('Control Center'!$F$9-COUNTBLANK($B2:F2))&gt;=0,1,0)</f>
        <v>1</v>
      </c>
      <c r="H8" s="371">
        <f>IF(('Control Center'!$F$9-COUNTBLANK($B2:G2))&gt;=0,1,0)</f>
        <v>1</v>
      </c>
      <c r="I8" s="371">
        <f>IF(('Control Center'!$F$9-COUNTBLANK($B2:H2))&gt;=0,1,0)</f>
        <v>1</v>
      </c>
      <c r="J8" s="371">
        <f>IF(('Control Center'!$F$9-COUNTBLANK($B2:I2))&gt;=0,1,0)</f>
        <v>1</v>
      </c>
      <c r="K8" s="371">
        <f>IF(('Control Center'!$F$9-COUNTBLANK($B2:J2))&gt;=0,1,0)</f>
        <v>1</v>
      </c>
      <c r="L8" s="371">
        <f>IF(('Control Center'!$F$9-COUNTBLANK($B2:K2))&gt;=0,1,0)</f>
        <v>1</v>
      </c>
      <c r="M8" s="370"/>
      <c r="N8" s="370"/>
      <c r="O8" s="370"/>
      <c r="P8" s="370"/>
      <c r="Q8" s="370"/>
      <c r="R8" s="370"/>
      <c r="S8" s="370"/>
      <c r="T8" s="372">
        <f>$A$19</f>
        <v>6.4343053776308445E-2</v>
      </c>
      <c r="U8" s="371">
        <f>$A$18</f>
        <v>5.195417</v>
      </c>
      <c r="V8" s="371">
        <f>N23</f>
        <v>-520570.4940980004</v>
      </c>
    </row>
    <row r="9" spans="1:22" x14ac:dyDescent="0.3">
      <c r="A9" s="370" t="s">
        <v>271</v>
      </c>
      <c r="B9" s="370"/>
      <c r="C9" s="364">
        <f>'Control Center'!$F$8</f>
        <v>2025</v>
      </c>
      <c r="D9" s="364">
        <f>(C9+1)*D$8</f>
        <v>2026</v>
      </c>
      <c r="E9" s="364">
        <f>(D9+1)*E$8</f>
        <v>2027</v>
      </c>
      <c r="F9" s="364">
        <f>(E9+1)*F$8</f>
        <v>2028</v>
      </c>
      <c r="G9" s="364">
        <f>(F9+1)*G$8</f>
        <v>2029</v>
      </c>
      <c r="H9" s="364">
        <f>(G9+1)*H$8</f>
        <v>2030</v>
      </c>
      <c r="I9" s="364">
        <f>(H9+1)*I$8</f>
        <v>2031</v>
      </c>
      <c r="J9" s="364">
        <f>(I9+1)*J$8</f>
        <v>2032</v>
      </c>
      <c r="K9" s="364">
        <f>(J9+1)*K$8</f>
        <v>2033</v>
      </c>
      <c r="L9" s="364">
        <f>(K9+1)*L$8</f>
        <v>2034</v>
      </c>
      <c r="M9" s="370"/>
      <c r="N9" s="370"/>
      <c r="O9" s="370"/>
      <c r="P9" s="370"/>
      <c r="Q9" s="370"/>
      <c r="R9" s="370"/>
      <c r="S9" s="370"/>
      <c r="T9" s="372">
        <f>$A$20</f>
        <v>7.4343053776308454E-2</v>
      </c>
      <c r="U9" s="371">
        <f>$A$14</f>
        <v>1.195417</v>
      </c>
      <c r="V9" s="371">
        <f>O19</f>
        <v>-636892.29919291311</v>
      </c>
    </row>
    <row r="10" spans="1:22" x14ac:dyDescent="0.3">
      <c r="A10" s="370"/>
      <c r="B10" s="370"/>
      <c r="C10" s="364"/>
      <c r="D10" s="364"/>
      <c r="E10" s="364"/>
      <c r="F10" s="364"/>
      <c r="G10" s="364"/>
      <c r="H10" s="364"/>
      <c r="I10" s="364"/>
      <c r="J10" s="364"/>
      <c r="K10" s="364"/>
      <c r="L10" s="364"/>
      <c r="M10" s="370"/>
      <c r="N10" s="370"/>
      <c r="O10" s="370"/>
      <c r="P10" s="370"/>
      <c r="Q10" s="370"/>
      <c r="R10" s="370"/>
      <c r="S10" s="370"/>
      <c r="T10" s="372">
        <f>$A$20</f>
        <v>7.4343053776308454E-2</v>
      </c>
      <c r="U10" s="371">
        <f>$A$15</f>
        <v>2.195417</v>
      </c>
      <c r="V10" s="371">
        <f>O20</f>
        <v>-585272.31816587481</v>
      </c>
    </row>
    <row r="11" spans="1:22" x14ac:dyDescent="0.3">
      <c r="A11" s="370" t="s">
        <v>272</v>
      </c>
      <c r="B11" s="370"/>
      <c r="C11" s="370"/>
      <c r="D11" s="370"/>
      <c r="E11" s="370"/>
      <c r="F11" s="370"/>
      <c r="G11" s="370"/>
      <c r="H11" s="370"/>
      <c r="I11" s="370"/>
      <c r="J11" s="370"/>
      <c r="K11" s="370"/>
      <c r="L11" s="370"/>
      <c r="M11" s="370"/>
      <c r="N11" s="370"/>
      <c r="O11" s="370"/>
      <c r="P11" s="370"/>
      <c r="Q11" s="370"/>
      <c r="R11" s="370"/>
      <c r="S11" s="370"/>
      <c r="T11" s="372">
        <f>$A$20</f>
        <v>7.4343053776308454E-2</v>
      </c>
      <c r="U11" s="371">
        <f>$A$16</f>
        <v>3.195417</v>
      </c>
      <c r="V11" s="371">
        <f>O21</f>
        <v>-542342.36455329182</v>
      </c>
    </row>
    <row r="12" spans="1:22" x14ac:dyDescent="0.3">
      <c r="A12" s="370" t="s">
        <v>273</v>
      </c>
      <c r="B12" s="370"/>
      <c r="C12" s="371">
        <f>IF(COUNT($C8:C8)='Control Center'!$F$9,1,0)</f>
        <v>0</v>
      </c>
      <c r="D12" s="371">
        <f>IF(COUNT($C8:D8)='Control Center'!$F$9,1,0)</f>
        <v>0</v>
      </c>
      <c r="E12" s="371">
        <f>IF(COUNT($C8:E8)='Control Center'!$F$9,1,0)</f>
        <v>0</v>
      </c>
      <c r="F12" s="371">
        <f>IF(COUNT($C8:F8)='Control Center'!$F$9,1,0)</f>
        <v>0</v>
      </c>
      <c r="G12" s="371">
        <f>IF(COUNT($C8:G8)='Control Center'!$F$9,1,0)</f>
        <v>0</v>
      </c>
      <c r="H12" s="371">
        <f>IF(COUNT($C8:H8)='Control Center'!$F$9,1,0)</f>
        <v>0</v>
      </c>
      <c r="I12" s="371">
        <f>IF(COUNT($C8:I8)='Control Center'!$F$9,1,0)</f>
        <v>0</v>
      </c>
      <c r="J12" s="371">
        <f>IF(COUNT($C8:J8)='Control Center'!$F$9,1,0)</f>
        <v>0</v>
      </c>
      <c r="K12" s="371">
        <f>IF(COUNT($C8:K8)='Control Center'!$F$9,1,0)</f>
        <v>0</v>
      </c>
      <c r="L12" s="371">
        <f>IF(COUNT($C8:L8)='Control Center'!$F$9,1,0)</f>
        <v>1</v>
      </c>
      <c r="M12" s="370"/>
      <c r="N12" s="370"/>
      <c r="O12" s="370"/>
      <c r="P12" s="370"/>
      <c r="Q12" s="370"/>
      <c r="R12" s="370"/>
      <c r="S12" s="370"/>
      <c r="T12" s="372">
        <f>$A$20</f>
        <v>7.4343053776308454E-2</v>
      </c>
      <c r="U12" s="371">
        <f>$A$17</f>
        <v>4.195417</v>
      </c>
      <c r="V12" s="371">
        <f>O22</f>
        <v>-506935.02933900553</v>
      </c>
    </row>
    <row r="13" spans="1:22" x14ac:dyDescent="0.3">
      <c r="A13" s="370" t="s">
        <v>274</v>
      </c>
      <c r="B13" s="370"/>
      <c r="C13" s="371">
        <v>0</v>
      </c>
      <c r="D13" s="371">
        <f>COUNT($C$8:C8)*C8</f>
        <v>1</v>
      </c>
      <c r="E13" s="371">
        <f>COUNT($C$8:D8)*D8</f>
        <v>2</v>
      </c>
      <c r="F13" s="371">
        <f>COUNT($C$8:E8)*E8</f>
        <v>3</v>
      </c>
      <c r="G13" s="371">
        <f>COUNT($C$8:F8)*F8</f>
        <v>4</v>
      </c>
      <c r="H13" s="371">
        <f>COUNT($C$8:G8)*G8</f>
        <v>5</v>
      </c>
      <c r="I13" s="371">
        <f>COUNT($C$8:H8)*H8</f>
        <v>6</v>
      </c>
      <c r="J13" s="371">
        <f>COUNT($C$8:I8)*I8</f>
        <v>7</v>
      </c>
      <c r="K13" s="371">
        <f>COUNT($C$8:J8)*J8</f>
        <v>8</v>
      </c>
      <c r="L13" s="371">
        <f>COUNT($C$8:K8)*K8</f>
        <v>9</v>
      </c>
      <c r="M13" s="370"/>
      <c r="N13" s="370"/>
      <c r="O13" s="370"/>
      <c r="P13" s="370"/>
      <c r="Q13" s="370"/>
      <c r="R13" s="370"/>
      <c r="S13" s="370"/>
      <c r="T13" s="372">
        <f>$A$20</f>
        <v>7.4343053776308454E-2</v>
      </c>
      <c r="U13" s="371">
        <f>$A$18</f>
        <v>5.195417</v>
      </c>
      <c r="V13" s="371">
        <f>O23</f>
        <v>-478033.64522503252</v>
      </c>
    </row>
    <row r="14" spans="1:22" x14ac:dyDescent="0.3">
      <c r="A14" s="371">
        <f>'Valuation &amp; Breakeven'!N29</f>
        <v>1.195417</v>
      </c>
      <c r="B14" s="370" t="s">
        <v>273</v>
      </c>
      <c r="C14" s="371">
        <f>'Valuation &amp; Breakeven'!K$14*$A14*'Formula Audit'!C$12</f>
        <v>0</v>
      </c>
      <c r="D14" s="371">
        <f>'Valuation &amp; Breakeven'!L$14*$A14*'Formula Audit'!D$12</f>
        <v>0</v>
      </c>
      <c r="E14" s="371">
        <f>'Valuation &amp; Breakeven'!M$14*$A14*'Formula Audit'!E$12</f>
        <v>0</v>
      </c>
      <c r="F14" s="371">
        <f>'Valuation &amp; Breakeven'!N$14*$A14*'Formula Audit'!F$12</f>
        <v>0</v>
      </c>
      <c r="G14" s="371">
        <f>'Valuation &amp; Breakeven'!O$14*$A14*'Formula Audit'!G$12</f>
        <v>0</v>
      </c>
      <c r="H14" s="371">
        <f>'Valuation &amp; Breakeven'!P$14*$A14*'Formula Audit'!H$12</f>
        <v>0</v>
      </c>
      <c r="I14" s="371">
        <f>'Valuation &amp; Breakeven'!Q$14*$A14*'Formula Audit'!I$12</f>
        <v>0</v>
      </c>
      <c r="J14" s="371">
        <f>'Valuation &amp; Breakeven'!R$14*$A14*'Formula Audit'!J$12</f>
        <v>0</v>
      </c>
      <c r="K14" s="371">
        <f>'Valuation &amp; Breakeven'!S$14*$A14*'Formula Audit'!K$12</f>
        <v>0</v>
      </c>
      <c r="L14" s="371">
        <f>'Valuation &amp; Breakeven'!T$14*$A14*'Formula Audit'!L$12</f>
        <v>131457.38388780702</v>
      </c>
      <c r="M14" s="370"/>
      <c r="N14" s="370"/>
      <c r="O14" s="370"/>
      <c r="P14" s="370"/>
      <c r="Q14" s="370"/>
      <c r="R14" s="370"/>
      <c r="S14" s="370"/>
      <c r="T14" s="372">
        <f>$A$21</f>
        <v>8.4343053776308449E-2</v>
      </c>
      <c r="U14" s="371">
        <f>$A$14</f>
        <v>1.195417</v>
      </c>
      <c r="V14" s="371">
        <f>P19</f>
        <v>-597375.89228365733</v>
      </c>
    </row>
    <row r="15" spans="1:22" x14ac:dyDescent="0.3">
      <c r="A15" s="371">
        <f>'Valuation &amp; Breakeven'!N30</f>
        <v>2.195417</v>
      </c>
      <c r="B15" s="370" t="s">
        <v>273</v>
      </c>
      <c r="C15" s="371">
        <f>'Valuation &amp; Breakeven'!K$14*$A15*'Formula Audit'!C$12</f>
        <v>0</v>
      </c>
      <c r="D15" s="371">
        <f>'Valuation &amp; Breakeven'!L$14*$A15*'Formula Audit'!D$12</f>
        <v>0</v>
      </c>
      <c r="E15" s="371">
        <f>'Valuation &amp; Breakeven'!M$14*$A15*'Formula Audit'!E$12</f>
        <v>0</v>
      </c>
      <c r="F15" s="371">
        <f>'Valuation &amp; Breakeven'!N$14*$A15*'Formula Audit'!F$12</f>
        <v>0</v>
      </c>
      <c r="G15" s="371">
        <f>'Valuation &amp; Breakeven'!O$14*$A15*'Formula Audit'!G$12</f>
        <v>0</v>
      </c>
      <c r="H15" s="371">
        <f>'Valuation &amp; Breakeven'!P$14*$A15*'Formula Audit'!H$12</f>
        <v>0</v>
      </c>
      <c r="I15" s="371">
        <f>'Valuation &amp; Breakeven'!Q$14*$A15*'Formula Audit'!I$12</f>
        <v>0</v>
      </c>
      <c r="J15" s="371">
        <f>'Valuation &amp; Breakeven'!R$14*$A15*'Formula Audit'!J$12</f>
        <v>0</v>
      </c>
      <c r="K15" s="371">
        <f>'Valuation &amp; Breakeven'!S$14*$A15*'Formula Audit'!K$12</f>
        <v>0</v>
      </c>
      <c r="L15" s="371">
        <f>'Valuation &amp; Breakeven'!T$14*$A15*'Formula Audit'!L$12</f>
        <v>241425.18917065562</v>
      </c>
      <c r="M15" s="370"/>
      <c r="N15" s="370"/>
      <c r="O15" s="370"/>
      <c r="P15" s="370"/>
      <c r="Q15" s="370"/>
      <c r="R15" s="370"/>
      <c r="S15" s="370"/>
      <c r="T15" s="372">
        <f>$A$21</f>
        <v>8.4343053776308449E-2</v>
      </c>
      <c r="U15" s="371">
        <f>$A$15</f>
        <v>2.195417</v>
      </c>
      <c r="V15" s="371">
        <f>P20</f>
        <v>-545755.91125661903</v>
      </c>
    </row>
    <row r="16" spans="1:22" x14ac:dyDescent="0.3">
      <c r="A16" s="371">
        <f>'Valuation &amp; Breakeven'!N31</f>
        <v>3.195417</v>
      </c>
      <c r="B16" s="370" t="s">
        <v>273</v>
      </c>
      <c r="C16" s="371">
        <f>'Valuation &amp; Breakeven'!K$14*$A16*'Formula Audit'!C$12</f>
        <v>0</v>
      </c>
      <c r="D16" s="371">
        <f>'Valuation &amp; Breakeven'!L$14*$A16*'Formula Audit'!D$12</f>
        <v>0</v>
      </c>
      <c r="E16" s="371">
        <f>'Valuation &amp; Breakeven'!M$14*$A16*'Formula Audit'!E$12</f>
        <v>0</v>
      </c>
      <c r="F16" s="371">
        <f>'Valuation &amp; Breakeven'!N$14*$A16*'Formula Audit'!F$12</f>
        <v>0</v>
      </c>
      <c r="G16" s="371">
        <f>'Valuation &amp; Breakeven'!O$14*$A16*'Formula Audit'!G$12</f>
        <v>0</v>
      </c>
      <c r="H16" s="371">
        <f>'Valuation &amp; Breakeven'!P$14*$A16*'Formula Audit'!H$12</f>
        <v>0</v>
      </c>
      <c r="I16" s="371">
        <f>'Valuation &amp; Breakeven'!Q$14*$A16*'Formula Audit'!I$12</f>
        <v>0</v>
      </c>
      <c r="J16" s="371">
        <f>'Valuation &amp; Breakeven'!R$14*$A16*'Formula Audit'!J$12</f>
        <v>0</v>
      </c>
      <c r="K16" s="371">
        <f>'Valuation &amp; Breakeven'!S$14*$A16*'Formula Audit'!K$12</f>
        <v>0</v>
      </c>
      <c r="L16" s="371">
        <f>'Valuation &amp; Breakeven'!T$14*$A16*'Formula Audit'!L$12</f>
        <v>351392.99445350422</v>
      </c>
      <c r="M16" s="370"/>
      <c r="N16" s="370"/>
      <c r="O16" s="370"/>
      <c r="P16" s="370"/>
      <c r="Q16" s="370"/>
      <c r="R16" s="370"/>
      <c r="S16" s="370"/>
      <c r="T16" s="372">
        <f>$A$21</f>
        <v>8.4343053776308449E-2</v>
      </c>
      <c r="U16" s="371">
        <f>$A$16</f>
        <v>3.195417</v>
      </c>
      <c r="V16" s="371">
        <f>P21</f>
        <v>-502825.95764403598</v>
      </c>
    </row>
    <row r="17" spans="1:22" x14ac:dyDescent="0.3">
      <c r="A17" s="371">
        <f>'Valuation &amp; Breakeven'!N32</f>
        <v>4.195417</v>
      </c>
      <c r="B17" s="370" t="s">
        <v>273</v>
      </c>
      <c r="C17" s="371">
        <f>'Valuation &amp; Breakeven'!K$14*$A17*'Formula Audit'!C$12</f>
        <v>0</v>
      </c>
      <c r="D17" s="371">
        <f>'Valuation &amp; Breakeven'!L$14*$A17*'Formula Audit'!D$12</f>
        <v>0</v>
      </c>
      <c r="E17" s="371">
        <f>'Valuation &amp; Breakeven'!M$14*$A17*'Formula Audit'!E$12</f>
        <v>0</v>
      </c>
      <c r="F17" s="371">
        <f>'Valuation &amp; Breakeven'!N$14*$A17*'Formula Audit'!F$12</f>
        <v>0</v>
      </c>
      <c r="G17" s="371">
        <f>'Valuation &amp; Breakeven'!O$14*$A17*'Formula Audit'!G$12</f>
        <v>0</v>
      </c>
      <c r="H17" s="371">
        <f>'Valuation &amp; Breakeven'!P$14*$A17*'Formula Audit'!H$12</f>
        <v>0</v>
      </c>
      <c r="I17" s="371">
        <f>'Valuation &amp; Breakeven'!Q$14*$A17*'Formula Audit'!I$12</f>
        <v>0</v>
      </c>
      <c r="J17" s="371">
        <f>'Valuation &amp; Breakeven'!R$14*$A17*'Formula Audit'!J$12</f>
        <v>0</v>
      </c>
      <c r="K17" s="371">
        <f>'Valuation &amp; Breakeven'!S$14*$A17*'Formula Audit'!K$12</f>
        <v>0</v>
      </c>
      <c r="L17" s="371">
        <f>'Valuation &amp; Breakeven'!T$14*$A17*'Formula Audit'!L$12</f>
        <v>461360.79973635281</v>
      </c>
      <c r="M17" s="370"/>
      <c r="N17" s="370"/>
      <c r="O17" s="370"/>
      <c r="P17" s="370"/>
      <c r="Q17" s="370"/>
      <c r="R17" s="370"/>
      <c r="S17" s="370"/>
      <c r="T17" s="372">
        <f>$A$21</f>
        <v>8.4343053776308449E-2</v>
      </c>
      <c r="U17" s="371">
        <f>$A$17</f>
        <v>4.195417</v>
      </c>
      <c r="V17" s="371">
        <f>P22</f>
        <v>-467418.62242974975</v>
      </c>
    </row>
    <row r="18" spans="1:22" x14ac:dyDescent="0.3">
      <c r="A18" s="371">
        <f>'Valuation &amp; Breakeven'!N33</f>
        <v>5.195417</v>
      </c>
      <c r="B18" s="370" t="s">
        <v>273</v>
      </c>
      <c r="C18" s="371">
        <f>'Valuation &amp; Breakeven'!K$14*$A18*'Formula Audit'!C$12</f>
        <v>0</v>
      </c>
      <c r="D18" s="371">
        <f>'Valuation &amp; Breakeven'!L$14*$A18*'Formula Audit'!D$12</f>
        <v>0</v>
      </c>
      <c r="E18" s="371">
        <f>'Valuation &amp; Breakeven'!M$14*$A18*'Formula Audit'!E$12</f>
        <v>0</v>
      </c>
      <c r="F18" s="371">
        <f>'Valuation &amp; Breakeven'!N$14*$A18*'Formula Audit'!F$12</f>
        <v>0</v>
      </c>
      <c r="G18" s="371">
        <f>'Valuation &amp; Breakeven'!O$14*$A18*'Formula Audit'!G$12</f>
        <v>0</v>
      </c>
      <c r="H18" s="371">
        <f>'Valuation &amp; Breakeven'!P$14*$A18*'Formula Audit'!H$12</f>
        <v>0</v>
      </c>
      <c r="I18" s="371">
        <f>'Valuation &amp; Breakeven'!Q$14*$A18*'Formula Audit'!I$12</f>
        <v>0</v>
      </c>
      <c r="J18" s="371">
        <f>'Valuation &amp; Breakeven'!R$14*$A18*'Formula Audit'!J$12</f>
        <v>0</v>
      </c>
      <c r="K18" s="371">
        <f>'Valuation &amp; Breakeven'!S$14*$A18*'Formula Audit'!K$12</f>
        <v>0</v>
      </c>
      <c r="L18" s="371">
        <f>'Valuation &amp; Breakeven'!T$14*$A18*'Formula Audit'!L$12</f>
        <v>571328.60501920141</v>
      </c>
      <c r="M18" s="371">
        <f>'Valuation &amp; Breakeven'!$K$33</f>
        <v>-107718.55379479629</v>
      </c>
      <c r="N18" s="371">
        <v>-862145.81094037869</v>
      </c>
      <c r="O18" s="371">
        <v>-819608.96206741082</v>
      </c>
      <c r="P18" s="371">
        <v>-780092.55515815504</v>
      </c>
      <c r="Q18" s="371">
        <v>-743339.47086315183</v>
      </c>
      <c r="R18" s="371">
        <v>-709117.3515187134</v>
      </c>
      <c r="S18" s="370"/>
      <c r="T18" s="372">
        <f>$A$21</f>
        <v>8.4343053776308449E-2</v>
      </c>
      <c r="U18" s="371">
        <f>$A$18</f>
        <v>5.195417</v>
      </c>
      <c r="V18" s="371">
        <f>P23</f>
        <v>-438517.23831577675</v>
      </c>
    </row>
    <row r="19" spans="1:22" x14ac:dyDescent="0.3">
      <c r="A19" s="372">
        <f>'Valuation &amp; Breakeven'!P28</f>
        <v>6.4343053776308445E-2</v>
      </c>
      <c r="B19" s="370" t="s">
        <v>217</v>
      </c>
      <c r="C19" s="371">
        <f>C14/(1+$A19)^'Formula Audit'!C$13</f>
        <v>0</v>
      </c>
      <c r="D19" s="371">
        <f>D14/(1+$A19)^'Formula Audit'!D$13</f>
        <v>0</v>
      </c>
      <c r="E19" s="371">
        <f>E14/(1+$A19)^'Formula Audit'!E$13</f>
        <v>0</v>
      </c>
      <c r="F19" s="371">
        <f>F14/(1+$A19)^'Formula Audit'!F$13</f>
        <v>0</v>
      </c>
      <c r="G19" s="371">
        <f>G14/(1+$A19)^'Formula Audit'!G$13</f>
        <v>0</v>
      </c>
      <c r="H19" s="371">
        <f>H14/(1+$A19)^'Formula Audit'!H$13</f>
        <v>0</v>
      </c>
      <c r="I19" s="371">
        <f>I14/(1+$A19)^'Formula Audit'!I$13</f>
        <v>0</v>
      </c>
      <c r="J19" s="371">
        <f>J14/(1+$A19)^'Formula Audit'!J$13</f>
        <v>0</v>
      </c>
      <c r="K19" s="371">
        <f>K14/(1+$A19)^'Formula Audit'!K$13</f>
        <v>0</v>
      </c>
      <c r="L19" s="371">
        <f>L14/(1+$A19)^'Formula Audit'!L$13</f>
        <v>74998.109079701462</v>
      </c>
      <c r="M19" s="371">
        <f>SUM(C19:L19)</f>
        <v>74998.109079701462</v>
      </c>
      <c r="N19" s="371">
        <f>N$18+$M19-$M$18</f>
        <v>-679429.14806588087</v>
      </c>
      <c r="O19" s="371">
        <f>O$18+$M19-$M$18</f>
        <v>-636892.29919291311</v>
      </c>
      <c r="P19" s="371">
        <f>P$18+$M19-$M$18</f>
        <v>-597375.89228365733</v>
      </c>
      <c r="Q19" s="371">
        <f>Q$18+$M19-$M$18</f>
        <v>-560622.80798865412</v>
      </c>
      <c r="R19" s="371">
        <f>R$18+$M19-$M$18</f>
        <v>-526400.6886442157</v>
      </c>
      <c r="S19" s="370"/>
      <c r="T19" s="372">
        <f>$A$22</f>
        <v>9.4343053776308444E-2</v>
      </c>
      <c r="U19" s="371">
        <f>$A$14</f>
        <v>1.195417</v>
      </c>
      <c r="V19" s="371">
        <f>Q19</f>
        <v>-560622.80798865412</v>
      </c>
    </row>
    <row r="20" spans="1:22" x14ac:dyDescent="0.3">
      <c r="A20" s="372">
        <f>'Valuation &amp; Breakeven'!Q28</f>
        <v>7.4343053776308454E-2</v>
      </c>
      <c r="B20" s="370" t="s">
        <v>217</v>
      </c>
      <c r="C20" s="371">
        <f>C15/(1+$A20)^'Formula Audit'!C$13</f>
        <v>0</v>
      </c>
      <c r="D20" s="371">
        <f>D15/(1+$A20)^'Formula Audit'!D$13</f>
        <v>0</v>
      </c>
      <c r="E20" s="371">
        <f>E15/(1+$A20)^'Formula Audit'!E$13</f>
        <v>0</v>
      </c>
      <c r="F20" s="371">
        <f>F15/(1+$A20)^'Formula Audit'!F$13</f>
        <v>0</v>
      </c>
      <c r="G20" s="371">
        <f>G15/(1+$A20)^'Formula Audit'!G$13</f>
        <v>0</v>
      </c>
      <c r="H20" s="371">
        <f>H15/(1+$A20)^'Formula Audit'!H$13</f>
        <v>0</v>
      </c>
      <c r="I20" s="371">
        <f>I15/(1+$A20)^'Formula Audit'!I$13</f>
        <v>0</v>
      </c>
      <c r="J20" s="371">
        <f>J15/(1+$A20)^'Formula Audit'!J$13</f>
        <v>0</v>
      </c>
      <c r="K20" s="371">
        <f>K15/(1+$A20)^'Formula Audit'!K$13</f>
        <v>0</v>
      </c>
      <c r="L20" s="371">
        <f>L15/(1+$A20)^'Formula Audit'!L$13</f>
        <v>126618.09010673965</v>
      </c>
      <c r="M20" s="371">
        <f>SUM(C20:L20)</f>
        <v>126618.09010673965</v>
      </c>
      <c r="N20" s="371">
        <f>N$18+$M20-$M$18</f>
        <v>-627809.1670388428</v>
      </c>
      <c r="O20" s="371">
        <f>O$18+$M20-$M$18</f>
        <v>-585272.31816587481</v>
      </c>
      <c r="P20" s="371">
        <f>P$18+$M20-$M$18</f>
        <v>-545755.91125661903</v>
      </c>
      <c r="Q20" s="371">
        <f>Q$18+$M20-$M$18</f>
        <v>-509002.82696161588</v>
      </c>
      <c r="R20" s="371">
        <f>R$18+$M20-$M$18</f>
        <v>-474780.70761717745</v>
      </c>
      <c r="S20" s="370"/>
      <c r="T20" s="372">
        <f>$A$22</f>
        <v>9.4343053776308444E-2</v>
      </c>
      <c r="U20" s="371">
        <f>$A$15</f>
        <v>2.195417</v>
      </c>
      <c r="V20" s="371">
        <f>Q20</f>
        <v>-509002.82696161588</v>
      </c>
    </row>
    <row r="21" spans="1:22" x14ac:dyDescent="0.3">
      <c r="A21" s="372">
        <f>'Valuation &amp; Breakeven'!R28</f>
        <v>8.4343053776308449E-2</v>
      </c>
      <c r="B21" s="370" t="s">
        <v>217</v>
      </c>
      <c r="C21" s="371">
        <f>C16/(1+$A21)^'Formula Audit'!C$13</f>
        <v>0</v>
      </c>
      <c r="D21" s="371">
        <f>D16/(1+$A21)^'Formula Audit'!D$13</f>
        <v>0</v>
      </c>
      <c r="E21" s="371">
        <f>E16/(1+$A21)^'Formula Audit'!E$13</f>
        <v>0</v>
      </c>
      <c r="F21" s="371">
        <f>F16/(1+$A21)^'Formula Audit'!F$13</f>
        <v>0</v>
      </c>
      <c r="G21" s="371">
        <f>G16/(1+$A21)^'Formula Audit'!G$13</f>
        <v>0</v>
      </c>
      <c r="H21" s="371">
        <f>H16/(1+$A21)^'Formula Audit'!H$13</f>
        <v>0</v>
      </c>
      <c r="I21" s="371">
        <f>I16/(1+$A21)^'Formula Audit'!I$13</f>
        <v>0</v>
      </c>
      <c r="J21" s="371">
        <f>J16/(1+$A21)^'Formula Audit'!J$13</f>
        <v>0</v>
      </c>
      <c r="K21" s="371">
        <f>K16/(1+$A21)^'Formula Audit'!K$13</f>
        <v>0</v>
      </c>
      <c r="L21" s="371">
        <f>L16/(1+$A21)^'Formula Audit'!L$13</f>
        <v>169548.04371932277</v>
      </c>
      <c r="M21" s="371">
        <f>SUM(C21:L21)</f>
        <v>169548.04371932277</v>
      </c>
      <c r="N21" s="371">
        <f>N$18+$M21-$M$18</f>
        <v>-584879.21342625958</v>
      </c>
      <c r="O21" s="371">
        <f>O$18+$M21-$M$18</f>
        <v>-542342.36455329182</v>
      </c>
      <c r="P21" s="371">
        <f>P$18+$M21-$M$18</f>
        <v>-502825.95764403598</v>
      </c>
      <c r="Q21" s="371">
        <f>Q$18+$M21-$M$18</f>
        <v>-466072.87334903277</v>
      </c>
      <c r="R21" s="371">
        <f>R$18+$M21-$M$18</f>
        <v>-431850.75400459435</v>
      </c>
      <c r="S21" s="370"/>
      <c r="T21" s="372">
        <f>$A$22</f>
        <v>9.4343053776308444E-2</v>
      </c>
      <c r="U21" s="371">
        <f>$A$16</f>
        <v>3.195417</v>
      </c>
      <c r="V21" s="371">
        <f>Q21</f>
        <v>-466072.87334903277</v>
      </c>
    </row>
    <row r="22" spans="1:22" x14ac:dyDescent="0.3">
      <c r="A22" s="372">
        <f>'Valuation &amp; Breakeven'!S28</f>
        <v>9.4343053776308444E-2</v>
      </c>
      <c r="B22" s="370" t="s">
        <v>217</v>
      </c>
      <c r="C22" s="371">
        <f>C17/(1+$A22)^'Formula Audit'!C$13</f>
        <v>0</v>
      </c>
      <c r="D22" s="371">
        <f>D17/(1+$A22)^'Formula Audit'!D$13</f>
        <v>0</v>
      </c>
      <c r="E22" s="371">
        <f>E17/(1+$A22)^'Formula Audit'!E$13</f>
        <v>0</v>
      </c>
      <c r="F22" s="371">
        <f>F17/(1+$A22)^'Formula Audit'!F$13</f>
        <v>0</v>
      </c>
      <c r="G22" s="371">
        <f>G17/(1+$A22)^'Formula Audit'!G$13</f>
        <v>0</v>
      </c>
      <c r="H22" s="371">
        <f>H17/(1+$A22)^'Formula Audit'!H$13</f>
        <v>0</v>
      </c>
      <c r="I22" s="371">
        <f>I17/(1+$A22)^'Formula Audit'!I$13</f>
        <v>0</v>
      </c>
      <c r="J22" s="371">
        <f>J17/(1+$A22)^'Formula Audit'!J$13</f>
        <v>0</v>
      </c>
      <c r="K22" s="371">
        <f>K17/(1+$A22)^'Formula Audit'!K$13</f>
        <v>0</v>
      </c>
      <c r="L22" s="371">
        <f>L17/(1+$A22)^'Formula Audit'!L$13</f>
        <v>204955.37893360897</v>
      </c>
      <c r="M22" s="371">
        <f>SUM(C22:L22)</f>
        <v>204955.37893360897</v>
      </c>
      <c r="N22" s="371">
        <f>N$18+$M22-$M$18</f>
        <v>-549471.87821197347</v>
      </c>
      <c r="O22" s="371">
        <f>O$18+$M22-$M$18</f>
        <v>-506935.02933900553</v>
      </c>
      <c r="P22" s="371">
        <f>P$18+$M22-$M$18</f>
        <v>-467418.62242974975</v>
      </c>
      <c r="Q22" s="371">
        <f>Q$18+$M22-$M$18</f>
        <v>-430665.53813474654</v>
      </c>
      <c r="R22" s="371">
        <f>R$18+$M22-$M$18</f>
        <v>-396443.41879030812</v>
      </c>
      <c r="S22" s="370"/>
      <c r="T22" s="372">
        <f>$A$22</f>
        <v>9.4343053776308444E-2</v>
      </c>
      <c r="U22" s="371">
        <f>$A$17</f>
        <v>4.195417</v>
      </c>
      <c r="V22" s="371">
        <f>Q22</f>
        <v>-430665.53813474654</v>
      </c>
    </row>
    <row r="23" spans="1:22" x14ac:dyDescent="0.3">
      <c r="A23" s="372">
        <f>'Valuation &amp; Breakeven'!T28</f>
        <v>0.10434305377630845</v>
      </c>
      <c r="B23" s="370" t="s">
        <v>217</v>
      </c>
      <c r="C23" s="371">
        <f>C18/(1+$A23)^'Formula Audit'!C$13</f>
        <v>0</v>
      </c>
      <c r="D23" s="371">
        <f>D18/(1+$A23)^'Formula Audit'!D$13</f>
        <v>0</v>
      </c>
      <c r="E23" s="371">
        <f>E18/(1+$A23)^'Formula Audit'!E$13</f>
        <v>0</v>
      </c>
      <c r="F23" s="371">
        <f>F18/(1+$A23)^'Formula Audit'!F$13</f>
        <v>0</v>
      </c>
      <c r="G23" s="371">
        <f>G18/(1+$A23)^'Formula Audit'!G$13</f>
        <v>0</v>
      </c>
      <c r="H23" s="371">
        <f>H18/(1+$A23)^'Formula Audit'!H$13</f>
        <v>0</v>
      </c>
      <c r="I23" s="371">
        <f>I18/(1+$A23)^'Formula Audit'!I$13</f>
        <v>0</v>
      </c>
      <c r="J23" s="371">
        <f>J18/(1+$A23)^'Formula Audit'!J$13</f>
        <v>0</v>
      </c>
      <c r="K23" s="371">
        <f>K18/(1+$A23)^'Formula Audit'!K$13</f>
        <v>0</v>
      </c>
      <c r="L23" s="371">
        <f>L18/(1+$A23)^'Formula Audit'!L$13</f>
        <v>233856.763047582</v>
      </c>
      <c r="M23" s="371">
        <f>SUM(C23:L23)</f>
        <v>233856.763047582</v>
      </c>
      <c r="N23" s="371">
        <f>N$18+$M23-$M$18</f>
        <v>-520570.4940980004</v>
      </c>
      <c r="O23" s="371">
        <f>O$18+$M23-$M$18</f>
        <v>-478033.64522503252</v>
      </c>
      <c r="P23" s="371">
        <f>P$18+$M23-$M$18</f>
        <v>-438517.23831577675</v>
      </c>
      <c r="Q23" s="371">
        <f>Q$18+$M23-$M$18</f>
        <v>-401764.15402077354</v>
      </c>
      <c r="R23" s="371">
        <f>R$18+$M23-$M$18</f>
        <v>-367542.03467633511</v>
      </c>
      <c r="S23" s="370"/>
      <c r="T23" s="372">
        <f>$A$22</f>
        <v>9.4343053776308444E-2</v>
      </c>
      <c r="U23" s="371">
        <f>$A$18</f>
        <v>5.195417</v>
      </c>
      <c r="V23" s="371">
        <f>Q23</f>
        <v>-401764.15402077354</v>
      </c>
    </row>
    <row r="24" spans="1:22" x14ac:dyDescent="0.3">
      <c r="A24" s="372">
        <f>'Valuation &amp; Breakeven'!P28</f>
        <v>6.4343053776308445E-2</v>
      </c>
      <c r="B24" s="370" t="s">
        <v>218</v>
      </c>
      <c r="C24" s="371">
        <f>'Valuation &amp; Breakeven'!K$19/(1+'Formula Audit'!$A24)^'Formula Audit'!C$13</f>
        <v>30441.12725736665</v>
      </c>
      <c r="D24" s="371">
        <f>'Valuation &amp; Breakeven'!L$19/(1+'Formula Audit'!$A24)^'Formula Audit'!D$13</f>
        <v>-1180.5731375660539</v>
      </c>
      <c r="E24" s="371">
        <f>'Valuation &amp; Breakeven'!M$19/(1+'Formula Audit'!$A24)^'Formula Audit'!E$13</f>
        <v>36489.964128878208</v>
      </c>
      <c r="F24" s="371">
        <f>'Valuation &amp; Breakeven'!N$19/(1+'Formula Audit'!$A24)^'Formula Audit'!F$13</f>
        <v>41862.987718566867</v>
      </c>
      <c r="G24" s="371">
        <f>'Valuation &amp; Breakeven'!O$19/(1+'Formula Audit'!$A24)^'Formula Audit'!G$13</f>
        <v>45016.306039224313</v>
      </c>
      <c r="H24" s="371">
        <f>'Valuation &amp; Breakeven'!P$19/(1+'Formula Audit'!$A24)^'Formula Audit'!H$13</f>
        <v>52257.865010595706</v>
      </c>
      <c r="I24" s="371">
        <f>'Valuation &amp; Breakeven'!Q$19/(1+'Formula Audit'!$A24)^'Formula Audit'!I$13</f>
        <v>49766.492188340002</v>
      </c>
      <c r="J24" s="371">
        <f>'Valuation &amp; Breakeven'!R$19/(1+'Formula Audit'!$A24)^'Formula Audit'!J$13</f>
        <v>58688.775977134144</v>
      </c>
      <c r="K24" s="371">
        <f>'Valuation &amp; Breakeven'!S$19/(1+'Formula Audit'!$A24)^'Formula Audit'!K$13</f>
        <v>55273.578479314128</v>
      </c>
      <c r="L24" s="371">
        <f>'Valuation &amp; Breakeven'!T$19/(1+'Formula Audit'!$A24)^'Formula Audit'!L$13</f>
        <v>258792.17367437543</v>
      </c>
      <c r="M24" s="371">
        <f>SUM(C24:L24)</f>
        <v>627408.69733622938</v>
      </c>
      <c r="N24" s="370"/>
      <c r="O24" s="370"/>
      <c r="P24" s="370"/>
      <c r="Q24" s="370"/>
      <c r="R24" s="370"/>
      <c r="S24" s="370"/>
      <c r="T24" s="372">
        <f>$A$23</f>
        <v>0.10434305377630845</v>
      </c>
      <c r="U24" s="371">
        <f>$A$14</f>
        <v>1.195417</v>
      </c>
      <c r="V24" s="371">
        <f>R19</f>
        <v>-526400.6886442157</v>
      </c>
    </row>
    <row r="25" spans="1:22" x14ac:dyDescent="0.3">
      <c r="A25" s="372">
        <f>'Valuation &amp; Breakeven'!Q28</f>
        <v>7.4343053776308454E-2</v>
      </c>
      <c r="B25" s="370" t="s">
        <v>218</v>
      </c>
      <c r="C25" s="371">
        <f>'Valuation &amp; Breakeven'!K$19/(1+'Formula Audit'!$A25)^'Formula Audit'!C$13</f>
        <v>30441.12725736665</v>
      </c>
      <c r="D25" s="371">
        <f>'Valuation &amp; Breakeven'!L$19/(1+'Formula Audit'!$A25)^'Formula Audit'!D$13</f>
        <v>-1169.5843464772449</v>
      </c>
      <c r="E25" s="371">
        <f>'Valuation &amp; Breakeven'!M$19/(1+'Formula Audit'!$A25)^'Formula Audit'!E$13</f>
        <v>35813.82740595947</v>
      </c>
      <c r="F25" s="371">
        <f>'Valuation &amp; Breakeven'!N$19/(1+'Formula Audit'!$A25)^'Formula Audit'!F$13</f>
        <v>40704.851070452474</v>
      </c>
      <c r="G25" s="371">
        <f>'Valuation &amp; Breakeven'!O$19/(1+'Formula Audit'!$A25)^'Formula Audit'!G$13</f>
        <v>43363.512608594712</v>
      </c>
      <c r="H25" s="371">
        <f>'Valuation &amp; Breakeven'!P$19/(1+'Formula Audit'!$A25)^'Formula Audit'!H$13</f>
        <v>49870.636645465362</v>
      </c>
      <c r="I25" s="371">
        <f>'Valuation &amp; Breakeven'!Q$19/(1+'Formula Audit'!$A25)^'Formula Audit'!I$13</f>
        <v>47051.007791803801</v>
      </c>
      <c r="J25" s="371">
        <f>'Valuation &amp; Breakeven'!R$19/(1+'Formula Audit'!$A25)^'Formula Audit'!J$13</f>
        <v>54969.982855301409</v>
      </c>
      <c r="K25" s="371">
        <f>'Valuation &amp; Breakeven'!S$19/(1+'Formula Audit'!$A25)^'Formula Audit'!K$13</f>
        <v>51289.301180291659</v>
      </c>
      <c r="L25" s="371">
        <f>'Valuation &amp; Breakeven'!T$19/(1+'Formula Audit'!$A25)^'Formula Audit'!L$13</f>
        <v>237902.49016254878</v>
      </c>
      <c r="M25" s="371">
        <f>SUM(C25:L25)</f>
        <v>590237.15263130702</v>
      </c>
      <c r="N25" s="370"/>
      <c r="O25" s="370"/>
      <c r="P25" s="370"/>
      <c r="Q25" s="370"/>
      <c r="R25" s="370"/>
      <c r="S25" s="370"/>
      <c r="T25" s="372">
        <f>$A$23</f>
        <v>0.10434305377630845</v>
      </c>
      <c r="U25" s="371">
        <f>$A$15</f>
        <v>2.195417</v>
      </c>
      <c r="V25" s="371">
        <f>R20</f>
        <v>-474780.70761717745</v>
      </c>
    </row>
    <row r="26" spans="1:22" x14ac:dyDescent="0.3">
      <c r="A26" s="372">
        <f>'Valuation &amp; Breakeven'!R28</f>
        <v>8.4343053776308449E-2</v>
      </c>
      <c r="B26" s="370" t="s">
        <v>218</v>
      </c>
      <c r="C26" s="371">
        <f>'Valuation &amp; Breakeven'!K$19/(1+'Formula Audit'!$A26)^'Formula Audit'!C$13</f>
        <v>30441.12725736665</v>
      </c>
      <c r="D26" s="371">
        <f>'Valuation &amp; Breakeven'!L$19/(1+'Formula Audit'!$A26)^'Formula Audit'!D$13</f>
        <v>-1158.7982364689403</v>
      </c>
      <c r="E26" s="371">
        <f>'Valuation &amp; Breakeven'!M$19/(1+'Formula Audit'!$A26)^'Formula Audit'!E$13</f>
        <v>35156.310642918797</v>
      </c>
      <c r="F26" s="371">
        <f>'Valuation &amp; Breakeven'!N$19/(1+'Formula Audit'!$A26)^'Formula Audit'!F$13</f>
        <v>39589.043180558721</v>
      </c>
      <c r="G26" s="371">
        <f>'Valuation &amp; Breakeven'!O$19/(1+'Formula Audit'!$A26)^'Formula Audit'!G$13</f>
        <v>41785.881500459916</v>
      </c>
      <c r="H26" s="371">
        <f>'Valuation &amp; Breakeven'!P$19/(1+'Formula Audit'!$A26)^'Formula Audit'!H$13</f>
        <v>47613.083146672223</v>
      </c>
      <c r="I26" s="371">
        <f>'Valuation &amp; Breakeven'!Q$19/(1+'Formula Audit'!$A26)^'Formula Audit'!I$13</f>
        <v>44506.823660113485</v>
      </c>
      <c r="J26" s="371">
        <f>'Valuation &amp; Breakeven'!R$19/(1+'Formula Audit'!$A26)^'Formula Audit'!J$13</f>
        <v>51518.06595835511</v>
      </c>
      <c r="K26" s="371">
        <f>'Valuation &amp; Breakeven'!S$19/(1+'Formula Audit'!$A26)^'Formula Audit'!K$13</f>
        <v>47625.221611781933</v>
      </c>
      <c r="L26" s="371">
        <f>'Valuation &amp; Breakeven'!T$19/(1+'Formula Audit'!$A26)^'Formula Audit'!L$13</f>
        <v>218869.62514454752</v>
      </c>
      <c r="M26" s="371">
        <f>SUM(C26:L26)</f>
        <v>555946.38386630535</v>
      </c>
      <c r="N26" s="370"/>
      <c r="O26" s="370"/>
      <c r="P26" s="370"/>
      <c r="Q26" s="370"/>
      <c r="R26" s="370"/>
      <c r="S26" s="370"/>
      <c r="T26" s="372">
        <f>$A$23</f>
        <v>0.10434305377630845</v>
      </c>
      <c r="U26" s="371">
        <f>$A$16</f>
        <v>3.195417</v>
      </c>
      <c r="V26" s="371">
        <f>R21</f>
        <v>-431850.75400459435</v>
      </c>
    </row>
    <row r="27" spans="1:22" x14ac:dyDescent="0.3">
      <c r="A27" s="372">
        <f>'Valuation &amp; Breakeven'!S28</f>
        <v>9.4343053776308444E-2</v>
      </c>
      <c r="B27" s="370" t="s">
        <v>218</v>
      </c>
      <c r="C27" s="371">
        <f>'Valuation &amp; Breakeven'!K$19/(1+'Formula Audit'!$A27)^'Formula Audit'!C$13</f>
        <v>30441.12725736665</v>
      </c>
      <c r="D27" s="371">
        <f>'Valuation &amp; Breakeven'!L$19/(1+'Formula Audit'!$A27)^'Formula Audit'!D$13</f>
        <v>-1148.2092513013531</v>
      </c>
      <c r="E27" s="371">
        <f>'Valuation &amp; Breakeven'!M$19/(1+'Formula Audit'!$A27)^'Formula Audit'!E$13</f>
        <v>34516.736369481601</v>
      </c>
      <c r="F27" s="371">
        <f>'Valuation &amp; Breakeven'!N$19/(1+'Formula Audit'!$A27)^'Formula Audit'!F$13</f>
        <v>38513.647741858003</v>
      </c>
      <c r="G27" s="371">
        <f>'Valuation &amp; Breakeven'!O$19/(1+'Formula Audit'!$A27)^'Formula Audit'!G$13</f>
        <v>40279.348074701542</v>
      </c>
      <c r="H27" s="371">
        <f>'Valuation &amp; Breakeven'!P$19/(1+'Formula Audit'!$A27)^'Formula Audit'!H$13</f>
        <v>45477.060497531987</v>
      </c>
      <c r="I27" s="371">
        <f>'Valuation &amp; Breakeven'!Q$19/(1+'Formula Audit'!$A27)^'Formula Audit'!I$13</f>
        <v>42121.700677996108</v>
      </c>
      <c r="J27" s="371">
        <f>'Valuation &amp; Breakeven'!R$19/(1+'Formula Audit'!$A27)^'Formula Audit'!J$13</f>
        <v>48311.671512045679</v>
      </c>
      <c r="K27" s="371">
        <f>'Valuation &amp; Breakeven'!S$19/(1+'Formula Audit'!$A27)^'Formula Audit'!K$13</f>
        <v>44253.002125886269</v>
      </c>
      <c r="L27" s="371">
        <f>'Valuation &amp; Breakeven'!T$19/(1+'Formula Audit'!$A27)^'Formula Audit'!L$13</f>
        <v>201513.63600141762</v>
      </c>
      <c r="M27" s="371">
        <f>SUM(C27:L27)</f>
        <v>524279.72100698412</v>
      </c>
      <c r="N27" s="370"/>
      <c r="O27" s="370"/>
      <c r="P27" s="370"/>
      <c r="Q27" s="370"/>
      <c r="R27" s="370"/>
      <c r="S27" s="370"/>
      <c r="T27" s="372">
        <f>$A$23</f>
        <v>0.10434305377630845</v>
      </c>
      <c r="U27" s="371">
        <f>$A$17</f>
        <v>4.195417</v>
      </c>
      <c r="V27" s="371">
        <f>R22</f>
        <v>-396443.41879030812</v>
      </c>
    </row>
    <row r="28" spans="1:22" x14ac:dyDescent="0.3">
      <c r="A28" s="372">
        <f>'Valuation &amp; Breakeven'!T28</f>
        <v>0.10434305377630845</v>
      </c>
      <c r="B28" s="370" t="s">
        <v>218</v>
      </c>
      <c r="C28" s="371">
        <f>'Valuation &amp; Breakeven'!K$19/(1+'Formula Audit'!$A28)^'Formula Audit'!C$13</f>
        <v>30441.12725736665</v>
      </c>
      <c r="D28" s="371">
        <f>'Valuation &amp; Breakeven'!L$19/(1+'Formula Audit'!$A28)^'Formula Audit'!D$13</f>
        <v>-1137.8120359851971</v>
      </c>
      <c r="E28" s="371">
        <f>'Valuation &amp; Breakeven'!M$19/(1+'Formula Audit'!$A28)^'Formula Audit'!E$13</f>
        <v>33894.457648854914</v>
      </c>
      <c r="F28" s="371">
        <f>'Valuation &amp; Breakeven'!N$19/(1+'Formula Audit'!$A28)^'Formula Audit'!F$13</f>
        <v>37476.851617813787</v>
      </c>
      <c r="G28" s="371">
        <f>'Valuation &amp; Breakeven'!O$19/(1+'Formula Audit'!$A28)^'Formula Audit'!G$13</f>
        <v>38840.101838422408</v>
      </c>
      <c r="H28" s="371">
        <f>'Valuation &amp; Breakeven'!P$19/(1+'Formula Audit'!$A28)^'Formula Audit'!H$13</f>
        <v>43455.004007245843</v>
      </c>
      <c r="I28" s="371">
        <f>'Valuation &amp; Breakeven'!Q$19/(1+'Formula Audit'!$A28)^'Formula Audit'!I$13</f>
        <v>39884.374762221749</v>
      </c>
      <c r="J28" s="371">
        <f>'Valuation &amp; Breakeven'!R$19/(1+'Formula Audit'!$A28)^'Formula Audit'!J$13</f>
        <v>45331.327380046998</v>
      </c>
      <c r="K28" s="371">
        <f>'Valuation &amp; Breakeven'!S$19/(1+'Formula Audit'!$A28)^'Formula Audit'!K$13</f>
        <v>41147.039436310923</v>
      </c>
      <c r="L28" s="371">
        <f>'Valuation &amp; Breakeven'!T$19/(1+'Formula Audit'!$A28)^'Formula Audit'!L$13</f>
        <v>185673.43638439532</v>
      </c>
      <c r="M28" s="371">
        <f>SUM(C28:L28)</f>
        <v>495005.90829669347</v>
      </c>
      <c r="N28" s="370"/>
      <c r="O28" s="370"/>
      <c r="P28" s="370"/>
      <c r="Q28" s="370"/>
      <c r="R28" s="370"/>
      <c r="S28" s="370"/>
      <c r="T28" s="372">
        <f>$A$23</f>
        <v>0.10434305377630845</v>
      </c>
      <c r="U28" s="371">
        <f>$A$18</f>
        <v>5.195417</v>
      </c>
      <c r="V28" s="371">
        <f>R23</f>
        <v>-367542.03467633511</v>
      </c>
    </row>
    <row r="29" spans="1:22" x14ac:dyDescent="0.3">
      <c r="A29" s="372"/>
      <c r="B29" s="370"/>
      <c r="C29" s="370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2"/>
      <c r="U29" s="370"/>
      <c r="V29" s="370"/>
    </row>
    <row r="30" spans="1:22" x14ac:dyDescent="0.3">
      <c r="A30" s="370"/>
      <c r="B30" s="370"/>
      <c r="C30" s="370" t="s">
        <v>20</v>
      </c>
      <c r="D30" s="370" t="s">
        <v>20</v>
      </c>
      <c r="E30" s="370" t="s">
        <v>20</v>
      </c>
      <c r="F30" s="370" t="s">
        <v>20</v>
      </c>
      <c r="G30" s="370" t="s">
        <v>20</v>
      </c>
      <c r="H30" s="370" t="s">
        <v>20</v>
      </c>
      <c r="I30" s="370" t="s">
        <v>20</v>
      </c>
      <c r="J30" s="370" t="s">
        <v>20</v>
      </c>
      <c r="K30" s="370" t="s">
        <v>20</v>
      </c>
      <c r="L30" s="370" t="s">
        <v>20</v>
      </c>
      <c r="M30" s="370"/>
      <c r="N30" s="370"/>
      <c r="O30" s="370"/>
      <c r="P30" s="370"/>
      <c r="Q30" s="370"/>
      <c r="R30" s="370"/>
      <c r="S30" s="370"/>
      <c r="T30" s="372"/>
      <c r="U30" s="370"/>
      <c r="V30" s="370"/>
    </row>
    <row r="31" spans="1:22" x14ac:dyDescent="0.3">
      <c r="A31" s="372"/>
      <c r="B31" s="370" t="s">
        <v>274</v>
      </c>
      <c r="C31" s="364">
        <f>C9</f>
        <v>2025</v>
      </c>
      <c r="D31" s="364">
        <f>D9</f>
        <v>2026</v>
      </c>
      <c r="E31" s="364">
        <f>E9</f>
        <v>2027</v>
      </c>
      <c r="F31" s="364">
        <f>F9</f>
        <v>2028</v>
      </c>
      <c r="G31" s="364">
        <f>G9</f>
        <v>2029</v>
      </c>
      <c r="H31" s="364">
        <f>H9</f>
        <v>2030</v>
      </c>
      <c r="I31" s="364">
        <f>I9</f>
        <v>2031</v>
      </c>
      <c r="J31" s="364">
        <f>J9</f>
        <v>2032</v>
      </c>
      <c r="K31" s="364">
        <f>K9</f>
        <v>2033</v>
      </c>
      <c r="L31" s="364">
        <f>L9</f>
        <v>2034</v>
      </c>
      <c r="M31" s="370"/>
      <c r="N31" s="370"/>
      <c r="O31" s="370"/>
      <c r="P31" s="370"/>
      <c r="Q31" s="370"/>
      <c r="R31" s="370"/>
      <c r="S31" s="370"/>
      <c r="T31" s="372"/>
      <c r="U31" s="370"/>
      <c r="V31" s="370"/>
    </row>
    <row r="32" spans="1:22" x14ac:dyDescent="0.3">
      <c r="A32" s="372"/>
      <c r="B32" s="370" t="s">
        <v>21</v>
      </c>
      <c r="C32" s="371">
        <f>Outputs!E16</f>
        <v>178578.55379479629</v>
      </c>
      <c r="D32" s="371">
        <f>Outputs!F16</f>
        <v>163839.58251429163</v>
      </c>
      <c r="E32" s="371">
        <f>Outputs!G16</f>
        <v>189931.21060877628</v>
      </c>
      <c r="F32" s="371">
        <f>Outputs!H16</f>
        <v>223641.76001467428</v>
      </c>
      <c r="G32" s="371">
        <f>Outputs!I16</f>
        <v>264213.03342238709</v>
      </c>
      <c r="H32" s="371">
        <f>Outputs!J16</f>
        <v>317061.07934972201</v>
      </c>
      <c r="I32" s="371">
        <f>Outputs!K16</f>
        <v>370368.59793910594</v>
      </c>
      <c r="J32" s="371">
        <f>Outputs!L16</f>
        <v>440597.53536700725</v>
      </c>
      <c r="K32" s="371">
        <f>Outputs!M16</f>
        <v>510650.55217872234</v>
      </c>
      <c r="L32" s="371">
        <f>Outputs!N16</f>
        <v>591162.37508667039</v>
      </c>
      <c r="M32" s="370"/>
      <c r="N32" s="370"/>
      <c r="O32" s="370"/>
      <c r="P32" s="370"/>
      <c r="Q32" s="370"/>
      <c r="R32" s="370"/>
      <c r="S32" s="370"/>
      <c r="T32" s="372"/>
      <c r="U32" s="370"/>
      <c r="V32" s="370"/>
    </row>
    <row r="33" spans="1:22" x14ac:dyDescent="0.3">
      <c r="A33" s="372"/>
      <c r="B33" s="372" t="s">
        <v>275</v>
      </c>
      <c r="C33" s="371">
        <f>C32</f>
        <v>178578.55379479629</v>
      </c>
      <c r="D33" s="371">
        <f>D32-C32</f>
        <v>-14738.971280504658</v>
      </c>
      <c r="E33" s="371">
        <f>E32-D32</f>
        <v>26091.628094484651</v>
      </c>
      <c r="F33" s="371">
        <f>F32-E32</f>
        <v>33710.549405897997</v>
      </c>
      <c r="G33" s="371">
        <f>G32-F32</f>
        <v>40571.273407712812</v>
      </c>
      <c r="H33" s="371">
        <f>H32-G32</f>
        <v>52848.045927334926</v>
      </c>
      <c r="I33" s="371">
        <f>I32-H32</f>
        <v>53307.518589383923</v>
      </c>
      <c r="J33" s="371">
        <f>J32-I32</f>
        <v>70228.937427901314</v>
      </c>
      <c r="K33" s="371">
        <f>K32-J32</f>
        <v>70053.01681171509</v>
      </c>
      <c r="L33" s="371">
        <f>L32-K32</f>
        <v>80511.822907948052</v>
      </c>
      <c r="M33" s="370"/>
      <c r="N33" s="370"/>
      <c r="O33" s="370"/>
      <c r="P33" s="370"/>
      <c r="Q33" s="370"/>
      <c r="R33" s="370"/>
      <c r="S33" s="370"/>
      <c r="T33" s="372"/>
      <c r="U33" s="370"/>
      <c r="V33" s="370"/>
    </row>
    <row r="34" spans="1:22" x14ac:dyDescent="0.3">
      <c r="A34" s="370"/>
      <c r="B34" s="370" t="s">
        <v>92</v>
      </c>
      <c r="C34" s="371">
        <f>Outputs!E9</f>
        <v>402045.22406400001</v>
      </c>
      <c r="D34" s="371">
        <f>Outputs!F9</f>
        <v>428989.89293554518</v>
      </c>
      <c r="E34" s="371">
        <f>Outputs!G9</f>
        <v>452948.5494661025</v>
      </c>
      <c r="F34" s="371">
        <f>Outputs!H9</f>
        <v>473185.83770769846</v>
      </c>
      <c r="G34" s="371">
        <f>Outputs!I9</f>
        <v>489042.29512928339</v>
      </c>
      <c r="H34" s="371">
        <f>Outputs!J9</f>
        <v>505430.1024390657</v>
      </c>
      <c r="I34" s="371">
        <f>Outputs!K9</f>
        <v>516721.41092755436</v>
      </c>
      <c r="J34" s="371">
        <f>Outputs!L9</f>
        <v>528264.96724767599</v>
      </c>
      <c r="K34" s="371">
        <f>Outputs!M9</f>
        <v>540066.40661598905</v>
      </c>
      <c r="L34" s="371">
        <f>Outputs!N9</f>
        <v>552131.49013979023</v>
      </c>
      <c r="M34" s="370"/>
      <c r="N34" s="370"/>
      <c r="O34" s="370"/>
      <c r="P34" s="370"/>
      <c r="Q34" s="370"/>
      <c r="R34" s="370"/>
      <c r="S34" s="370"/>
      <c r="T34" s="370"/>
      <c r="U34" s="370"/>
      <c r="V34" s="370"/>
    </row>
    <row r="35" spans="1:22" x14ac:dyDescent="0.3">
      <c r="A35" s="370"/>
      <c r="B35" s="370" t="s">
        <v>167</v>
      </c>
      <c r="C35" s="371">
        <v>0</v>
      </c>
      <c r="D35" s="371">
        <v>-92884</v>
      </c>
      <c r="E35" s="371">
        <v>-92884</v>
      </c>
      <c r="F35" s="371">
        <v>-92884</v>
      </c>
      <c r="G35" s="371">
        <v>-92884</v>
      </c>
      <c r="H35" s="371">
        <v>-92884</v>
      </c>
      <c r="I35" s="371">
        <v>-92884</v>
      </c>
      <c r="J35" s="371">
        <v>-92884</v>
      </c>
      <c r="K35" s="371">
        <v>-92884</v>
      </c>
      <c r="L35" s="371">
        <v>-92884</v>
      </c>
      <c r="M35" s="370"/>
      <c r="N35" s="370"/>
      <c r="O35" s="370"/>
      <c r="P35" s="370"/>
      <c r="Q35" s="370"/>
      <c r="R35" s="370"/>
      <c r="S35" s="370"/>
      <c r="T35" s="370"/>
      <c r="U35" s="370"/>
      <c r="V35" s="370"/>
    </row>
    <row r="36" spans="1:22" x14ac:dyDescent="0.3">
      <c r="A36" s="370"/>
      <c r="B36" s="370" t="s">
        <v>171</v>
      </c>
      <c r="C36" s="373">
        <f>Outputs!E18</f>
        <v>0.72698648985487402</v>
      </c>
      <c r="D36" s="373">
        <f>Outputs!F18</f>
        <v>0.68132478414618125</v>
      </c>
      <c r="E36" s="373">
        <f>Outputs!G18</f>
        <v>0.64528619541826637</v>
      </c>
      <c r="F36" s="373">
        <f>Outputs!H18</f>
        <v>0.61768849131481196</v>
      </c>
      <c r="G36" s="373">
        <f>Outputs!I18</f>
        <v>0.59766087538080137</v>
      </c>
      <c r="H36" s="373">
        <f>Outputs!J18</f>
        <v>0.57828262462946789</v>
      </c>
      <c r="I36" s="373">
        <f>Outputs!K18</f>
        <v>0.56564609095747787</v>
      </c>
      <c r="J36" s="373">
        <f>Outputs!L18</f>
        <v>0.55328568867253336</v>
      </c>
      <c r="K36" s="373">
        <f>Outputs!M18</f>
        <v>0.54119538379847554</v>
      </c>
      <c r="L36" s="373">
        <f>Outputs!N18</f>
        <v>0.52936927421256674</v>
      </c>
      <c r="M36" s="370"/>
      <c r="N36" s="370"/>
      <c r="O36" s="370"/>
      <c r="P36" s="370"/>
      <c r="Q36" s="370"/>
      <c r="R36" s="370"/>
      <c r="S36" s="370"/>
      <c r="T36" s="370"/>
      <c r="U36" s="370"/>
      <c r="V36" s="370"/>
    </row>
    <row r="37" spans="1:22" x14ac:dyDescent="0.3">
      <c r="A37" s="370"/>
      <c r="B37" s="370" t="s">
        <v>172</v>
      </c>
      <c r="C37" s="373">
        <f>Outputs!E19</f>
        <v>4.4857167949276082</v>
      </c>
      <c r="D37" s="373">
        <f>Outputs!F19</f>
        <v>6.0830223235953005</v>
      </c>
      <c r="E37" s="373">
        <f>Outputs!G19</f>
        <v>4.3211409288458134</v>
      </c>
      <c r="F37" s="373">
        <f>Outputs!H19</f>
        <v>3.4504693947477723</v>
      </c>
      <c r="G37" s="373">
        <f>Outputs!I19</f>
        <v>3.1496942035330879</v>
      </c>
      <c r="H37" s="373">
        <f>Outputs!J19</f>
        <v>2.6670610668935444</v>
      </c>
      <c r="I37" s="373">
        <f>Outputs!K19</f>
        <v>2.4968963671472455</v>
      </c>
      <c r="J37" s="373">
        <f>Outputs!L19</f>
        <v>2.2009771628889641</v>
      </c>
      <c r="K37" s="373">
        <f>Outputs!M19</f>
        <v>2.120472042500154</v>
      </c>
      <c r="L37" s="373">
        <f>Outputs!N19</f>
        <v>2.0044903335448234</v>
      </c>
      <c r="M37" s="370"/>
      <c r="N37" s="370"/>
      <c r="O37" s="370"/>
      <c r="P37" s="370"/>
      <c r="Q37" s="370"/>
      <c r="R37" s="370"/>
      <c r="S37" s="370"/>
      <c r="T37" s="370"/>
      <c r="U37" s="370"/>
      <c r="V37" s="370"/>
    </row>
    <row r="38" spans="1:22" x14ac:dyDescent="0.3">
      <c r="A38" s="370"/>
      <c r="B38" s="370"/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0"/>
      <c r="N38" s="370"/>
      <c r="O38" s="370"/>
      <c r="P38" s="370"/>
      <c r="Q38" s="370"/>
      <c r="R38" s="370"/>
      <c r="S38" s="370"/>
      <c r="T38" s="370"/>
      <c r="U38" s="370"/>
      <c r="V38" s="370"/>
    </row>
    <row r="39" spans="1:22" x14ac:dyDescent="0.3">
      <c r="A39" s="370"/>
      <c r="B39" s="370" t="s">
        <v>276</v>
      </c>
      <c r="C39" s="373" t="str">
        <f>IF('Valuation &amp; Breakeven'!$K$47 &gt;= 15%, "Attractive Investment", IF('Valuation &amp; Breakeven'!$K$47 &gt;= 10%, "Adequate Investment", IF('Valuation &amp; Breakeven'!$K$47 &gt;= 5%, "Modest Return", "Not Advised")))</f>
        <v>Attractive Investment</v>
      </c>
      <c r="D39" s="373"/>
      <c r="E39" s="373"/>
      <c r="F39" s="373"/>
      <c r="G39" s="373"/>
      <c r="H39" s="373"/>
      <c r="I39" s="373"/>
      <c r="J39" s="373"/>
      <c r="K39" s="373"/>
      <c r="L39" s="373"/>
      <c r="M39" s="370"/>
      <c r="N39" s="370"/>
      <c r="O39" s="370"/>
      <c r="P39" s="370"/>
      <c r="Q39" s="370"/>
      <c r="R39" s="370"/>
      <c r="S39" s="370"/>
      <c r="T39" s="370"/>
      <c r="U39" s="370"/>
      <c r="V39" s="370"/>
    </row>
    <row r="40" spans="1:22" x14ac:dyDescent="0.3">
      <c r="A40" s="370"/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</row>
    <row r="41" spans="1:22" x14ac:dyDescent="0.3">
      <c r="A41" s="370" t="s">
        <v>92</v>
      </c>
      <c r="B41" s="370"/>
      <c r="C41" s="370" t="s">
        <v>7</v>
      </c>
      <c r="D41" s="370" t="s">
        <v>8</v>
      </c>
      <c r="E41" s="370" t="s">
        <v>9</v>
      </c>
      <c r="F41" s="370" t="s">
        <v>10</v>
      </c>
      <c r="G41" s="370" t="s">
        <v>11</v>
      </c>
      <c r="H41" s="370" t="s">
        <v>12</v>
      </c>
      <c r="I41" s="370" t="s">
        <v>13</v>
      </c>
      <c r="J41" s="370" t="s">
        <v>14</v>
      </c>
      <c r="K41" s="370" t="s">
        <v>15</v>
      </c>
      <c r="L41" s="370" t="s">
        <v>16</v>
      </c>
      <c r="M41" s="370" t="s">
        <v>17</v>
      </c>
      <c r="N41" s="370" t="s">
        <v>18</v>
      </c>
      <c r="O41" s="370"/>
      <c r="P41" s="370"/>
      <c r="Q41" s="370"/>
      <c r="R41" s="370"/>
      <c r="S41" s="370"/>
      <c r="T41" s="370"/>
      <c r="U41" s="370"/>
      <c r="V41" s="370"/>
    </row>
    <row r="42" spans="1:22" x14ac:dyDescent="0.3">
      <c r="A42" s="370" t="s">
        <v>277</v>
      </c>
      <c r="B42" s="370"/>
      <c r="C42" s="365">
        <f>1+'Control Center'!G155</f>
        <v>1.018551</v>
      </c>
      <c r="D42" s="365">
        <f>1+'Control Center'!H155</f>
        <v>1.027827</v>
      </c>
      <c r="E42" s="365">
        <f>1+'Control Center'!I155</f>
        <v>1.0371030000000001</v>
      </c>
      <c r="F42" s="365">
        <f>1+'Control Center'!J155</f>
        <v>1.046378</v>
      </c>
      <c r="G42" s="365">
        <f>1+'Control Center'!K155</f>
        <v>1.092757</v>
      </c>
      <c r="H42" s="365">
        <f>1+'Control Center'!L155</f>
        <v>1.111308</v>
      </c>
      <c r="I42" s="365">
        <f>1+'Control Center'!M155</f>
        <v>1.0742050000000001</v>
      </c>
      <c r="J42" s="365">
        <f>1+'Control Center'!N155</f>
        <v>1.046378</v>
      </c>
      <c r="K42" s="365">
        <f>1+'Control Center'!O155</f>
        <v>0.98144900000000002</v>
      </c>
      <c r="L42" s="365">
        <f>1+'Control Center'!P155</f>
        <v>1.027827</v>
      </c>
      <c r="M42" s="365">
        <f>1+'Control Center'!Q155</f>
        <v>1.0742050000000001</v>
      </c>
      <c r="N42" s="365">
        <f>1+'Control Center'!R155</f>
        <v>1.111308</v>
      </c>
      <c r="O42" s="366"/>
      <c r="P42" s="370"/>
      <c r="Q42" s="370"/>
      <c r="R42" s="370"/>
      <c r="S42" s="370"/>
      <c r="T42" s="370"/>
      <c r="U42" s="370"/>
      <c r="V42" s="370"/>
    </row>
    <row r="43" spans="1:22" x14ac:dyDescent="0.3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</row>
    <row r="44" spans="1:22" x14ac:dyDescent="0.3">
      <c r="A44" s="370" t="s">
        <v>50</v>
      </c>
      <c r="B44" s="370"/>
      <c r="C44" s="374">
        <f>'Control Center'!F8</f>
        <v>2025</v>
      </c>
      <c r="D44" s="374">
        <f>(C44+1)*D$8</f>
        <v>2026</v>
      </c>
      <c r="E44" s="374">
        <f>(D44+1)*E$8</f>
        <v>2027</v>
      </c>
      <c r="F44" s="374">
        <f>(E44+1)*F$8</f>
        <v>2028</v>
      </c>
      <c r="G44" s="374">
        <f>(F44+1)*G$8</f>
        <v>2029</v>
      </c>
      <c r="H44" s="374">
        <f>(G44+1)*H$8</f>
        <v>2030</v>
      </c>
      <c r="I44" s="374">
        <f>(H44+1)*I$8</f>
        <v>2031</v>
      </c>
      <c r="J44" s="374">
        <f>(I44+1)*J$8</f>
        <v>2032</v>
      </c>
      <c r="K44" s="374">
        <f>(J44+1)*K$8</f>
        <v>2033</v>
      </c>
      <c r="L44" s="374">
        <f>(K44+1)*L$8</f>
        <v>2034</v>
      </c>
      <c r="M44" s="370"/>
      <c r="N44" s="370"/>
      <c r="O44" s="370"/>
      <c r="P44" s="370"/>
      <c r="Q44" s="370"/>
      <c r="R44" s="370"/>
      <c r="S44" s="370"/>
      <c r="T44" s="370"/>
      <c r="U44" s="370"/>
      <c r="V44" s="370"/>
    </row>
    <row r="45" spans="1:22" x14ac:dyDescent="0.3">
      <c r="A45" s="370" t="s">
        <v>55</v>
      </c>
      <c r="B45" s="370"/>
      <c r="C45" s="375">
        <f>INDEX(C46:C48, MATCH('Control Center'!$E$25, 'Formula Audit'!$C$4:$C$6, 0))*C$8</f>
        <v>0</v>
      </c>
      <c r="D45" s="375">
        <f>INDEX(D46:D48, MATCH('Control Center'!$E$25, 'Formula Audit'!$C$4:$C$6, 0))*D$8</f>
        <v>6.7018999999999995E-2</v>
      </c>
      <c r="E45" s="375">
        <f>INDEX(E46:E48, MATCH('Control Center'!$E$25, 'Formula Audit'!$C$4:$C$6, 0))*E$8</f>
        <v>5.5849000000000003E-2</v>
      </c>
      <c r="F45" s="375">
        <f>INDEX(F46:F48, MATCH('Control Center'!$E$25, 'Formula Audit'!$C$4:$C$6, 0))*F$8</f>
        <v>4.4679000000000003E-2</v>
      </c>
      <c r="G45" s="375">
        <f>INDEX(G46:G48, MATCH('Control Center'!$E$25, 'Formula Audit'!$C$4:$C$6, 0))*G$8</f>
        <v>3.3509999999999998E-2</v>
      </c>
      <c r="H45" s="375">
        <f>INDEX(H46:H48, MATCH('Control Center'!$E$25, 'Formula Audit'!$C$4:$C$6, 0))*H$8</f>
        <v>3.3509999999999998E-2</v>
      </c>
      <c r="I45" s="375">
        <f>INDEX(I46:I48, MATCH('Control Center'!$E$25, 'Formula Audit'!$C$4:$C$6, 0))*I$8</f>
        <v>2.2339999999999999E-2</v>
      </c>
      <c r="J45" s="375">
        <f>INDEX(J46:J48, MATCH('Control Center'!$E$25, 'Formula Audit'!$C$4:$C$6, 0))*J$8</f>
        <v>2.2339999999999999E-2</v>
      </c>
      <c r="K45" s="375">
        <f>INDEX(K46:K48, MATCH('Control Center'!$E$25, 'Formula Audit'!$C$4:$C$6, 0))*K$8</f>
        <v>2.2339999999999999E-2</v>
      </c>
      <c r="L45" s="375">
        <f>INDEX(L46:L48, MATCH('Control Center'!$E$25, 'Formula Audit'!$C$4:$C$6, 0))*L$8</f>
        <v>2.2339999999999999E-2</v>
      </c>
      <c r="M45" s="370"/>
      <c r="N45" s="370"/>
      <c r="O45" s="370"/>
      <c r="P45" s="370"/>
      <c r="Q45" s="370"/>
      <c r="R45" s="370"/>
      <c r="S45" s="370"/>
      <c r="T45" s="370"/>
      <c r="U45" s="370"/>
      <c r="V45" s="370"/>
    </row>
    <row r="46" spans="1:22" x14ac:dyDescent="0.3">
      <c r="A46" s="370"/>
      <c r="B46" s="370" t="s">
        <v>51</v>
      </c>
      <c r="C46" s="375">
        <f>'Control Center'!G58</f>
        <v>0</v>
      </c>
      <c r="D46" s="375">
        <f>'Control Center'!H58</f>
        <v>6.7018999999999995E-2</v>
      </c>
      <c r="E46" s="375">
        <f>'Control Center'!I58</f>
        <v>5.5849000000000003E-2</v>
      </c>
      <c r="F46" s="375">
        <f>'Control Center'!J58</f>
        <v>4.4679000000000003E-2</v>
      </c>
      <c r="G46" s="375">
        <f>'Control Center'!K58</f>
        <v>3.3509999999999998E-2</v>
      </c>
      <c r="H46" s="375">
        <f>'Control Center'!L58</f>
        <v>3.3509999999999998E-2</v>
      </c>
      <c r="I46" s="375">
        <f>'Control Center'!M58</f>
        <v>2.2339999999999999E-2</v>
      </c>
      <c r="J46" s="375">
        <f>'Control Center'!N58</f>
        <v>2.2339999999999999E-2</v>
      </c>
      <c r="K46" s="375">
        <f>'Control Center'!O58</f>
        <v>2.2339999999999999E-2</v>
      </c>
      <c r="L46" s="375">
        <f>'Control Center'!P58</f>
        <v>2.2339999999999999E-2</v>
      </c>
      <c r="M46" s="370"/>
      <c r="N46" s="370"/>
      <c r="O46" s="370"/>
      <c r="P46" s="370"/>
      <c r="Q46" s="370"/>
      <c r="R46" s="370"/>
      <c r="S46" s="370"/>
      <c r="T46" s="370"/>
      <c r="U46" s="370"/>
      <c r="V46" s="370"/>
    </row>
    <row r="47" spans="1:22" x14ac:dyDescent="0.3">
      <c r="A47" s="370"/>
      <c r="B47" s="370" t="s">
        <v>268</v>
      </c>
      <c r="C47" s="375">
        <f>'Control Center'!G88</f>
        <v>0</v>
      </c>
      <c r="D47" s="375">
        <f>'Control Center'!H88</f>
        <v>8.2932000000000006E-2</v>
      </c>
      <c r="E47" s="375">
        <f>'Control Center'!I88</f>
        <v>7.2566000000000005E-2</v>
      </c>
      <c r="F47" s="375">
        <f>'Control Center'!J88</f>
        <v>6.2198999999999997E-2</v>
      </c>
      <c r="G47" s="375">
        <f>'Control Center'!K88</f>
        <v>5.1832999999999997E-2</v>
      </c>
      <c r="H47" s="375">
        <f>'Control Center'!L88</f>
        <v>5.1832999999999997E-2</v>
      </c>
      <c r="I47" s="375">
        <f>'Control Center'!M88</f>
        <v>4.1466000000000003E-2</v>
      </c>
      <c r="J47" s="375">
        <f>'Control Center'!N88</f>
        <v>4.1466000000000003E-2</v>
      </c>
      <c r="K47" s="375">
        <f>'Control Center'!O88</f>
        <v>3.1099999999999999E-2</v>
      </c>
      <c r="L47" s="375">
        <f>'Control Center'!P88</f>
        <v>3.1099999999999999E-2</v>
      </c>
      <c r="M47" s="370"/>
      <c r="N47" s="370"/>
      <c r="O47" s="370"/>
      <c r="P47" s="370"/>
      <c r="Q47" s="370"/>
      <c r="R47" s="370"/>
      <c r="S47" s="370"/>
      <c r="T47" s="370"/>
      <c r="U47" s="370"/>
      <c r="V47" s="370"/>
    </row>
    <row r="48" spans="1:22" x14ac:dyDescent="0.3">
      <c r="A48" s="370"/>
      <c r="B48" s="370" t="s">
        <v>269</v>
      </c>
      <c r="C48" s="375">
        <f>'Control Center'!G118</f>
        <v>0</v>
      </c>
      <c r="D48" s="375">
        <f>'Control Center'!H118</f>
        <v>2.179E-2</v>
      </c>
      <c r="E48" s="375">
        <f>'Control Center'!I118</f>
        <v>2.179E-2</v>
      </c>
      <c r="F48" s="375">
        <f>'Control Center'!J118</f>
        <v>1.0895E-2</v>
      </c>
      <c r="G48" s="375">
        <f>'Control Center'!K118</f>
        <v>1.0895E-2</v>
      </c>
      <c r="H48" s="375">
        <f>'Control Center'!L118</f>
        <v>1.0895E-2</v>
      </c>
      <c r="I48" s="375">
        <f>'Control Center'!M118</f>
        <v>0</v>
      </c>
      <c r="J48" s="375">
        <f>'Control Center'!N118</f>
        <v>0</v>
      </c>
      <c r="K48" s="375">
        <f>'Control Center'!O118</f>
        <v>0</v>
      </c>
      <c r="L48" s="375">
        <f>'Control Center'!P118</f>
        <v>-1.0895E-2</v>
      </c>
      <c r="M48" s="370"/>
      <c r="N48" s="370"/>
      <c r="O48" s="370"/>
      <c r="P48" s="370"/>
      <c r="Q48" s="370"/>
      <c r="R48" s="370"/>
      <c r="S48" s="370"/>
      <c r="T48" s="370"/>
      <c r="U48" s="370"/>
      <c r="V48" s="370"/>
    </row>
    <row r="49" spans="1:22" x14ac:dyDescent="0.3">
      <c r="A49" s="370" t="s">
        <v>57</v>
      </c>
      <c r="B49" s="370"/>
      <c r="C49" s="375">
        <f>INDEX(C50:C52, MATCH('Control Center'!$E$25, 'Formula Audit'!$C$4:$C$6, 0))*C$8</f>
        <v>0</v>
      </c>
      <c r="D49" s="375">
        <f>INDEX(D50:D52, MATCH('Control Center'!$E$25, 'Formula Audit'!$C$4:$C$6, 0))*D$8</f>
        <v>0.26594299999999998</v>
      </c>
      <c r="E49" s="375">
        <f>INDEX(E50:E52, MATCH('Control Center'!$E$25, 'Formula Audit'!$C$4:$C$6, 0))*E$8</f>
        <v>0.26594299999999998</v>
      </c>
      <c r="F49" s="375">
        <f>INDEX(F50:F52, MATCH('Control Center'!$E$25, 'Formula Audit'!$C$4:$C$6, 0))*F$8</f>
        <v>0.255305</v>
      </c>
      <c r="G49" s="375">
        <f>INDEX(G50:G52, MATCH('Control Center'!$E$25, 'Formula Audit'!$C$4:$C$6, 0))*G$8</f>
        <v>0.255305</v>
      </c>
      <c r="H49" s="375">
        <f>INDEX(H50:H52, MATCH('Control Center'!$E$25, 'Formula Audit'!$C$4:$C$6, 0))*H$8</f>
        <v>0.244668</v>
      </c>
      <c r="I49" s="375">
        <f>INDEX(I50:I52, MATCH('Control Center'!$E$25, 'Formula Audit'!$C$4:$C$6, 0))*I$8</f>
        <v>0.244668</v>
      </c>
      <c r="J49" s="375">
        <f>INDEX(J50:J52, MATCH('Control Center'!$E$25, 'Formula Audit'!$C$4:$C$6, 0))*J$8</f>
        <v>0.23402999999999999</v>
      </c>
      <c r="K49" s="375">
        <f>INDEX(K50:K52, MATCH('Control Center'!$E$25, 'Formula Audit'!$C$4:$C$6, 0))*K$8</f>
        <v>0.23402999999999999</v>
      </c>
      <c r="L49" s="375">
        <f>INDEX(L50:L52, MATCH('Control Center'!$E$25, 'Formula Audit'!$C$4:$C$6, 0))*L$8</f>
        <v>0.22339200000000001</v>
      </c>
      <c r="M49" s="370"/>
      <c r="N49" s="370"/>
      <c r="O49" s="370"/>
      <c r="P49" s="370"/>
      <c r="Q49" s="370"/>
      <c r="R49" s="370"/>
      <c r="S49" s="370"/>
      <c r="T49" s="370"/>
      <c r="U49" s="370"/>
      <c r="V49" s="370"/>
    </row>
    <row r="50" spans="1:22" x14ac:dyDescent="0.3">
      <c r="A50" s="370"/>
      <c r="B50" s="370" t="s">
        <v>51</v>
      </c>
      <c r="C50" s="375">
        <f>'Control Center'!G59</f>
        <v>0</v>
      </c>
      <c r="D50" s="375">
        <f>'Control Center'!H59</f>
        <v>0.26594299999999998</v>
      </c>
      <c r="E50" s="375">
        <f>'Control Center'!I59</f>
        <v>0.26594299999999998</v>
      </c>
      <c r="F50" s="375">
        <f>'Control Center'!J59</f>
        <v>0.255305</v>
      </c>
      <c r="G50" s="375">
        <f>'Control Center'!K59</f>
        <v>0.255305</v>
      </c>
      <c r="H50" s="375">
        <f>'Control Center'!L59</f>
        <v>0.244668</v>
      </c>
      <c r="I50" s="375">
        <f>'Control Center'!M59</f>
        <v>0.244668</v>
      </c>
      <c r="J50" s="375">
        <f>'Control Center'!N59</f>
        <v>0.23402999999999999</v>
      </c>
      <c r="K50" s="375">
        <f>'Control Center'!O59</f>
        <v>0.23402999999999999</v>
      </c>
      <c r="L50" s="375">
        <f>'Control Center'!P59</f>
        <v>0.22339200000000001</v>
      </c>
      <c r="M50" s="370"/>
      <c r="N50" s="370"/>
      <c r="O50" s="370"/>
      <c r="P50" s="370"/>
      <c r="Q50" s="370"/>
      <c r="R50" s="370"/>
      <c r="S50" s="370"/>
      <c r="T50" s="370"/>
      <c r="U50" s="370"/>
      <c r="V50" s="370"/>
    </row>
    <row r="51" spans="1:22" x14ac:dyDescent="0.3">
      <c r="A51" s="370"/>
      <c r="B51" s="370" t="s">
        <v>268</v>
      </c>
      <c r="C51" s="375">
        <f>'Control Center'!G89</f>
        <v>0</v>
      </c>
      <c r="D51" s="375">
        <f>'Control Center'!H89</f>
        <v>0.17096600000000001</v>
      </c>
      <c r="E51" s="375">
        <f>'Control Center'!I89</f>
        <v>0.17096600000000001</v>
      </c>
      <c r="F51" s="375">
        <f>'Control Center'!J89</f>
        <v>0.161468</v>
      </c>
      <c r="G51" s="375">
        <f>'Control Center'!K89</f>
        <v>0.161468</v>
      </c>
      <c r="H51" s="375">
        <f>'Control Center'!L89</f>
        <v>0.161468</v>
      </c>
      <c r="I51" s="375">
        <f>'Control Center'!M89</f>
        <v>0.15196899999999999</v>
      </c>
      <c r="J51" s="375">
        <f>'Control Center'!N89</f>
        <v>0.15196899999999999</v>
      </c>
      <c r="K51" s="375">
        <f>'Control Center'!O89</f>
        <v>0.15196899999999999</v>
      </c>
      <c r="L51" s="375">
        <f>'Control Center'!P89</f>
        <v>0.14247099999999999</v>
      </c>
      <c r="M51" s="370"/>
      <c r="N51" s="370"/>
      <c r="O51" s="370"/>
      <c r="P51" s="370"/>
      <c r="Q51" s="370"/>
      <c r="R51" s="370"/>
      <c r="S51" s="370"/>
      <c r="T51" s="370"/>
      <c r="U51" s="370"/>
      <c r="V51" s="370"/>
    </row>
    <row r="52" spans="1:22" x14ac:dyDescent="0.3">
      <c r="A52" s="370"/>
      <c r="B52" s="370" t="s">
        <v>269</v>
      </c>
      <c r="C52" s="375">
        <f>'Control Center'!G119</f>
        <v>0</v>
      </c>
      <c r="D52" s="375">
        <f>'Control Center'!H119</f>
        <v>0.29143599999999997</v>
      </c>
      <c r="E52" s="375">
        <f>'Control Center'!I119</f>
        <v>0.29143599999999997</v>
      </c>
      <c r="F52" s="375">
        <f>'Control Center'!J119</f>
        <v>0.310865</v>
      </c>
      <c r="G52" s="375">
        <f>'Control Center'!K119</f>
        <v>0.310865</v>
      </c>
      <c r="H52" s="375">
        <f>'Control Center'!L119</f>
        <v>0.320579</v>
      </c>
      <c r="I52" s="375">
        <f>'Control Center'!M119</f>
        <v>0.33029399999999998</v>
      </c>
      <c r="J52" s="375">
        <f>'Control Center'!N119</f>
        <v>0.33029399999999998</v>
      </c>
      <c r="K52" s="375">
        <f>'Control Center'!O119</f>
        <v>0.34000799999999998</v>
      </c>
      <c r="L52" s="375">
        <f>'Control Center'!P119</f>
        <v>0.34972300000000001</v>
      </c>
      <c r="M52" s="370"/>
      <c r="N52" s="370"/>
      <c r="O52" s="370"/>
      <c r="P52" s="370"/>
      <c r="Q52" s="370"/>
      <c r="R52" s="370"/>
      <c r="S52" s="370"/>
      <c r="T52" s="370"/>
      <c r="U52" s="370"/>
      <c r="V52" s="370"/>
    </row>
    <row r="53" spans="1:22" x14ac:dyDescent="0.3">
      <c r="A53" s="370" t="s">
        <v>59</v>
      </c>
      <c r="B53" s="370"/>
      <c r="C53" s="375">
        <f>INDEX(C54:C56, MATCH('Control Center'!$E$25, 'Formula Audit'!$C$4:$C$6, 0))*C$8</f>
        <v>0</v>
      </c>
      <c r="D53" s="375">
        <f>INDEX(D54:D56, MATCH('Control Center'!$E$25, 'Formula Audit'!$C$4:$C$6, 0))*D$8</f>
        <v>0.33648</v>
      </c>
      <c r="E53" s="375">
        <f>INDEX(E54:E56, MATCH('Control Center'!$E$25, 'Formula Audit'!$C$4:$C$6, 0))*E$8</f>
        <v>0.319656</v>
      </c>
      <c r="F53" s="375">
        <f>INDEX(F54:F56, MATCH('Control Center'!$E$25, 'Formula Audit'!$C$4:$C$6, 0))*F$8</f>
        <v>0.31124400000000002</v>
      </c>
      <c r="G53" s="375">
        <f>INDEX(G54:G56, MATCH('Control Center'!$E$25, 'Formula Audit'!$C$4:$C$6, 0))*G$8</f>
        <v>0.30283199999999999</v>
      </c>
      <c r="H53" s="375">
        <f>INDEX(H54:H56, MATCH('Control Center'!$E$25, 'Formula Audit'!$C$4:$C$6, 0))*H$8</f>
        <v>0.29442000000000002</v>
      </c>
      <c r="I53" s="375">
        <f>INDEX(I54:I56, MATCH('Control Center'!$E$25, 'Formula Audit'!$C$4:$C$6, 0))*I$8</f>
        <v>0.29442000000000002</v>
      </c>
      <c r="J53" s="375">
        <f>INDEX(J54:J56, MATCH('Control Center'!$E$25, 'Formula Audit'!$C$4:$C$6, 0))*J$8</f>
        <v>0.28600799999999998</v>
      </c>
      <c r="K53" s="375">
        <f>INDEX(K54:K56, MATCH('Control Center'!$E$25, 'Formula Audit'!$C$4:$C$6, 0))*K$8</f>
        <v>0.28600799999999998</v>
      </c>
      <c r="L53" s="375">
        <f>INDEX(L54:L56, MATCH('Control Center'!$E$25, 'Formula Audit'!$C$4:$C$6, 0))*L$8</f>
        <v>0.28600799999999998</v>
      </c>
      <c r="M53" s="370"/>
      <c r="N53" s="370"/>
      <c r="O53" s="370"/>
      <c r="P53" s="370"/>
      <c r="Q53" s="370"/>
      <c r="R53" s="370"/>
      <c r="S53" s="370"/>
      <c r="T53" s="370"/>
      <c r="U53" s="370"/>
      <c r="V53" s="370"/>
    </row>
    <row r="54" spans="1:22" x14ac:dyDescent="0.3">
      <c r="A54" s="370"/>
      <c r="B54" s="370" t="s">
        <v>51</v>
      </c>
      <c r="C54" s="375">
        <f>'Control Center'!G60</f>
        <v>0</v>
      </c>
      <c r="D54" s="375">
        <f>'Control Center'!H60</f>
        <v>0.33648</v>
      </c>
      <c r="E54" s="375">
        <f>'Control Center'!I60</f>
        <v>0.319656</v>
      </c>
      <c r="F54" s="375">
        <f>'Control Center'!J60</f>
        <v>0.31124400000000002</v>
      </c>
      <c r="G54" s="375">
        <f>'Control Center'!K60</f>
        <v>0.30283199999999999</v>
      </c>
      <c r="H54" s="375">
        <f>'Control Center'!L60</f>
        <v>0.29442000000000002</v>
      </c>
      <c r="I54" s="375">
        <f>'Control Center'!M60</f>
        <v>0.29442000000000002</v>
      </c>
      <c r="J54" s="375">
        <f>'Control Center'!N60</f>
        <v>0.28600799999999998</v>
      </c>
      <c r="K54" s="375">
        <f>'Control Center'!O60</f>
        <v>0.28600799999999998</v>
      </c>
      <c r="L54" s="375">
        <f>'Control Center'!P60</f>
        <v>0.28600799999999998</v>
      </c>
      <c r="M54" s="370"/>
      <c r="N54" s="370"/>
      <c r="O54" s="370"/>
      <c r="P54" s="370"/>
      <c r="Q54" s="370"/>
      <c r="R54" s="370"/>
      <c r="S54" s="370"/>
      <c r="T54" s="370"/>
      <c r="U54" s="370"/>
      <c r="V54" s="370"/>
    </row>
    <row r="55" spans="1:22" x14ac:dyDescent="0.3">
      <c r="A55" s="370"/>
      <c r="B55" s="370" t="s">
        <v>268</v>
      </c>
      <c r="C55" s="375">
        <f>'Control Center'!G90</f>
        <v>0</v>
      </c>
      <c r="D55" s="375">
        <f>'Control Center'!H90</f>
        <v>0.44233600000000001</v>
      </c>
      <c r="E55" s="375">
        <f>'Control Center'!I90</f>
        <v>0.42021900000000001</v>
      </c>
      <c r="F55" s="375">
        <f>'Control Center'!J90</f>
        <v>0.409161</v>
      </c>
      <c r="G55" s="375">
        <f>'Control Center'!K90</f>
        <v>0.39810299999999998</v>
      </c>
      <c r="H55" s="375">
        <f>'Control Center'!L90</f>
        <v>0.387044</v>
      </c>
      <c r="I55" s="375">
        <f>'Control Center'!M90</f>
        <v>0.387044</v>
      </c>
      <c r="J55" s="375">
        <f>'Control Center'!N90</f>
        <v>0.37598599999999999</v>
      </c>
      <c r="K55" s="375">
        <f>'Control Center'!O90</f>
        <v>0.37598599999999999</v>
      </c>
      <c r="L55" s="375">
        <f>'Control Center'!P90</f>
        <v>0.364927</v>
      </c>
      <c r="M55" s="370"/>
      <c r="N55" s="370"/>
      <c r="O55" s="370"/>
      <c r="P55" s="370"/>
      <c r="Q55" s="370"/>
      <c r="R55" s="370"/>
      <c r="S55" s="370"/>
      <c r="T55" s="370"/>
      <c r="U55" s="370"/>
      <c r="V55" s="370"/>
    </row>
    <row r="56" spans="1:22" x14ac:dyDescent="0.3">
      <c r="A56" s="370"/>
      <c r="B56" s="370" t="s">
        <v>269</v>
      </c>
      <c r="C56" s="375">
        <f>'Control Center'!G120</f>
        <v>0</v>
      </c>
      <c r="D56" s="375">
        <f>'Control Center'!H120</f>
        <v>0.63140399999999997</v>
      </c>
      <c r="E56" s="375">
        <f>'Control Center'!I120</f>
        <v>0.64288400000000001</v>
      </c>
      <c r="F56" s="375">
        <f>'Control Center'!J120</f>
        <v>0.65436399999999995</v>
      </c>
      <c r="G56" s="375">
        <f>'Control Center'!K120</f>
        <v>0.66584399999999999</v>
      </c>
      <c r="H56" s="375">
        <f>'Control Center'!L120</f>
        <v>0.66584399999999999</v>
      </c>
      <c r="I56" s="375">
        <f>'Control Center'!M120</f>
        <v>0.67732400000000004</v>
      </c>
      <c r="J56" s="375">
        <f>'Control Center'!N120</f>
        <v>0.68880399999999997</v>
      </c>
      <c r="K56" s="375">
        <f>'Control Center'!O120</f>
        <v>0.68880399999999997</v>
      </c>
      <c r="L56" s="375">
        <f>'Control Center'!P120</f>
        <v>0.68880399999999997</v>
      </c>
      <c r="M56" s="370"/>
      <c r="N56" s="370"/>
      <c r="O56" s="370"/>
      <c r="P56" s="370"/>
      <c r="Q56" s="370"/>
      <c r="R56" s="370"/>
      <c r="S56" s="370"/>
      <c r="T56" s="370"/>
      <c r="U56" s="370"/>
      <c r="V56" s="370"/>
    </row>
    <row r="57" spans="1:22" x14ac:dyDescent="0.3">
      <c r="A57" s="370" t="s">
        <v>61</v>
      </c>
      <c r="B57" s="370"/>
      <c r="C57" s="375">
        <f>INDEX(C58:C60, MATCH('Control Center'!$E$25, 'Formula Audit'!$C$4:$C$6, 0))*C$8</f>
        <v>0.190469</v>
      </c>
      <c r="D57" s="375">
        <f>INDEX(D58:D60, MATCH('Control Center'!$E$25, 'Formula Audit'!$C$4:$C$6, 0))*D$8</f>
        <v>0.190469</v>
      </c>
      <c r="E57" s="375">
        <f>INDEX(E58:E60, MATCH('Control Center'!$E$25, 'Formula Audit'!$C$4:$C$6, 0))*E$8</f>
        <v>0.190469</v>
      </c>
      <c r="F57" s="375">
        <f>INDEX(F58:F60, MATCH('Control Center'!$E$25, 'Formula Audit'!$C$4:$C$6, 0))*F$8</f>
        <v>0.190469</v>
      </c>
      <c r="G57" s="375">
        <f>INDEX(G58:G60, MATCH('Control Center'!$E$25, 'Formula Audit'!$C$4:$C$6, 0))*G$8</f>
        <v>0.190469</v>
      </c>
      <c r="H57" s="375">
        <f>INDEX(H58:H60, MATCH('Control Center'!$E$25, 'Formula Audit'!$C$4:$C$6, 0))*H$8</f>
        <v>0.190469</v>
      </c>
      <c r="I57" s="375">
        <f>INDEX(I58:I60, MATCH('Control Center'!$E$25, 'Formula Audit'!$C$4:$C$6, 0))*I$8</f>
        <v>0.190469</v>
      </c>
      <c r="J57" s="375">
        <f>INDEX(J58:J60, MATCH('Control Center'!$E$25, 'Formula Audit'!$C$4:$C$6, 0))*J$8</f>
        <v>0.190469</v>
      </c>
      <c r="K57" s="375">
        <f>INDEX(K58:K60, MATCH('Control Center'!$E$25, 'Formula Audit'!$C$4:$C$6, 0))*K$8</f>
        <v>0.190469</v>
      </c>
      <c r="L57" s="375">
        <f>INDEX(L58:L60, MATCH('Control Center'!$E$25, 'Formula Audit'!$C$4:$C$6, 0))*L$8</f>
        <v>0.190469</v>
      </c>
      <c r="M57" s="370"/>
      <c r="N57" s="370"/>
      <c r="O57" s="370"/>
      <c r="P57" s="370"/>
      <c r="Q57" s="370"/>
      <c r="R57" s="370"/>
      <c r="S57" s="370"/>
      <c r="T57" s="370"/>
      <c r="U57" s="370"/>
      <c r="V57" s="370"/>
    </row>
    <row r="58" spans="1:22" x14ac:dyDescent="0.3">
      <c r="A58" s="370"/>
      <c r="B58" s="370" t="s">
        <v>51</v>
      </c>
      <c r="C58" s="375">
        <f>'Control Center'!G61</f>
        <v>0.190469</v>
      </c>
      <c r="D58" s="375">
        <f>'Control Center'!H61</f>
        <v>0.190469</v>
      </c>
      <c r="E58" s="375">
        <f>'Control Center'!I61</f>
        <v>0.190469</v>
      </c>
      <c r="F58" s="375">
        <f>'Control Center'!J61</f>
        <v>0.190469</v>
      </c>
      <c r="G58" s="375">
        <f>'Control Center'!K61</f>
        <v>0.190469</v>
      </c>
      <c r="H58" s="375">
        <f>'Control Center'!L61</f>
        <v>0.190469</v>
      </c>
      <c r="I58" s="375">
        <f>'Control Center'!M61</f>
        <v>0.190469</v>
      </c>
      <c r="J58" s="375">
        <f>'Control Center'!N61</f>
        <v>0.190469</v>
      </c>
      <c r="K58" s="375">
        <f>'Control Center'!O61</f>
        <v>0.190469</v>
      </c>
      <c r="L58" s="375">
        <f>'Control Center'!P61</f>
        <v>0.190469</v>
      </c>
      <c r="M58" s="370"/>
      <c r="N58" s="370"/>
      <c r="O58" s="370"/>
      <c r="P58" s="370"/>
      <c r="Q58" s="370"/>
      <c r="R58" s="370"/>
      <c r="S58" s="370"/>
      <c r="T58" s="370"/>
      <c r="U58" s="370"/>
      <c r="V58" s="370"/>
    </row>
    <row r="59" spans="1:22" x14ac:dyDescent="0.3">
      <c r="A59" s="370"/>
      <c r="B59" s="370" t="s">
        <v>268</v>
      </c>
      <c r="C59" s="375">
        <f>'Control Center'!G91</f>
        <v>0.158474</v>
      </c>
      <c r="D59" s="375">
        <f>'Control Center'!H91</f>
        <v>0.158474</v>
      </c>
      <c r="E59" s="375">
        <f>'Control Center'!I91</f>
        <v>0.158474</v>
      </c>
      <c r="F59" s="375">
        <f>'Control Center'!J91</f>
        <v>0.158474</v>
      </c>
      <c r="G59" s="375">
        <f>'Control Center'!K91</f>
        <v>0.158474</v>
      </c>
      <c r="H59" s="375">
        <f>'Control Center'!L91</f>
        <v>0.158474</v>
      </c>
      <c r="I59" s="375">
        <f>'Control Center'!M91</f>
        <v>0.158474</v>
      </c>
      <c r="J59" s="375">
        <f>'Control Center'!N91</f>
        <v>0.158474</v>
      </c>
      <c r="K59" s="375">
        <f>'Control Center'!O91</f>
        <v>0.158474</v>
      </c>
      <c r="L59" s="375">
        <f>'Control Center'!P91</f>
        <v>0.158474</v>
      </c>
      <c r="M59" s="370"/>
      <c r="N59" s="370"/>
      <c r="O59" s="370"/>
      <c r="P59" s="370"/>
      <c r="Q59" s="370"/>
      <c r="R59" s="370"/>
      <c r="S59" s="370"/>
      <c r="T59" s="370"/>
      <c r="U59" s="370"/>
      <c r="V59" s="370"/>
    </row>
    <row r="60" spans="1:22" x14ac:dyDescent="0.3">
      <c r="A60" s="370"/>
      <c r="B60" s="370" t="s">
        <v>269</v>
      </c>
      <c r="C60" s="375">
        <f>'Control Center'!G121</f>
        <v>0.25143100000000002</v>
      </c>
      <c r="D60" s="375">
        <f>'Control Center'!H121</f>
        <v>0.25143100000000002</v>
      </c>
      <c r="E60" s="375">
        <f>'Control Center'!I121</f>
        <v>0.25143100000000002</v>
      </c>
      <c r="F60" s="375">
        <f>'Control Center'!J121</f>
        <v>0.25143100000000002</v>
      </c>
      <c r="G60" s="375">
        <f>'Control Center'!K121</f>
        <v>0.25143100000000002</v>
      </c>
      <c r="H60" s="375">
        <f>'Control Center'!L121</f>
        <v>0.25143100000000002</v>
      </c>
      <c r="I60" s="375">
        <f>'Control Center'!M121</f>
        <v>0.25143100000000002</v>
      </c>
      <c r="J60" s="375">
        <f>'Control Center'!N121</f>
        <v>0.25143100000000002</v>
      </c>
      <c r="K60" s="375">
        <f>'Control Center'!O121</f>
        <v>0.25143100000000002</v>
      </c>
      <c r="L60" s="375">
        <f>'Control Center'!P121</f>
        <v>0.25143100000000002</v>
      </c>
      <c r="M60" s="370"/>
      <c r="N60" s="370"/>
      <c r="O60" s="370"/>
      <c r="P60" s="370"/>
      <c r="Q60" s="370"/>
      <c r="R60" s="370"/>
      <c r="S60" s="370"/>
      <c r="T60" s="370"/>
      <c r="U60" s="370"/>
      <c r="V60" s="370"/>
    </row>
    <row r="61" spans="1:22" x14ac:dyDescent="0.3">
      <c r="A61" s="370" t="s">
        <v>63</v>
      </c>
      <c r="B61" s="370"/>
      <c r="C61" s="375">
        <f>INDEX(C62:C64, MATCH('Control Center'!$E$25, 'Formula Audit'!$C$4:$C$6, 0))*C$8</f>
        <v>0.13719300000000001</v>
      </c>
      <c r="D61" s="375">
        <f>INDEX(D62:D64, MATCH('Control Center'!$E$25, 'Formula Audit'!$C$4:$C$6, 0))*D$8</f>
        <v>0.12576000000000001</v>
      </c>
      <c r="E61" s="375">
        <f>INDEX(E62:E64, MATCH('Control Center'!$E$25, 'Formula Audit'!$C$4:$C$6, 0))*E$8</f>
        <v>0.114327</v>
      </c>
      <c r="F61" s="375">
        <f>INDEX(F62:F64, MATCH('Control Center'!$E$25, 'Formula Audit'!$C$4:$C$6, 0))*F$8</f>
        <v>0.102895</v>
      </c>
      <c r="G61" s="375">
        <f>INDEX(G62:G64, MATCH('Control Center'!$E$25, 'Formula Audit'!$C$4:$C$6, 0))*G$8</f>
        <v>0.102895</v>
      </c>
      <c r="H61" s="375">
        <f>INDEX(H62:H64, MATCH('Control Center'!$E$25, 'Formula Audit'!$C$4:$C$6, 0))*H$8</f>
        <v>9.1462000000000002E-2</v>
      </c>
      <c r="I61" s="375">
        <f>INDEX(I62:I64, MATCH('Control Center'!$E$25, 'Formula Audit'!$C$4:$C$6, 0))*I$8</f>
        <v>9.1462000000000002E-2</v>
      </c>
      <c r="J61" s="375">
        <f>INDEX(J62:J64, MATCH('Control Center'!$E$25, 'Formula Audit'!$C$4:$C$6, 0))*J$8</f>
        <v>8.0029000000000003E-2</v>
      </c>
      <c r="K61" s="375">
        <f>INDEX(K62:K64, MATCH('Control Center'!$E$25, 'Formula Audit'!$C$4:$C$6, 0))*K$8</f>
        <v>8.0029000000000003E-2</v>
      </c>
      <c r="L61" s="375">
        <f>INDEX(L62:L64, MATCH('Control Center'!$E$25, 'Formula Audit'!$C$4:$C$6, 0))*L$8</f>
        <v>8.0029000000000003E-2</v>
      </c>
      <c r="M61" s="370"/>
      <c r="N61" s="370"/>
      <c r="O61" s="370"/>
      <c r="P61" s="370"/>
      <c r="Q61" s="370"/>
      <c r="R61" s="370"/>
      <c r="S61" s="370"/>
      <c r="T61" s="370"/>
      <c r="U61" s="370"/>
      <c r="V61" s="370"/>
    </row>
    <row r="62" spans="1:22" x14ac:dyDescent="0.3">
      <c r="A62" s="370"/>
      <c r="B62" s="370" t="s">
        <v>51</v>
      </c>
      <c r="C62" s="375">
        <f>'Control Center'!G62</f>
        <v>0.13719300000000001</v>
      </c>
      <c r="D62" s="375">
        <f>'Control Center'!H62</f>
        <v>0.12576000000000001</v>
      </c>
      <c r="E62" s="375">
        <f>'Control Center'!I62</f>
        <v>0.114327</v>
      </c>
      <c r="F62" s="375">
        <f>'Control Center'!J62</f>
        <v>0.102895</v>
      </c>
      <c r="G62" s="375">
        <f>'Control Center'!K62</f>
        <v>0.102895</v>
      </c>
      <c r="H62" s="375">
        <f>'Control Center'!L62</f>
        <v>9.1462000000000002E-2</v>
      </c>
      <c r="I62" s="375">
        <f>'Control Center'!M62</f>
        <v>9.1462000000000002E-2</v>
      </c>
      <c r="J62" s="375">
        <f>'Control Center'!N62</f>
        <v>8.0029000000000003E-2</v>
      </c>
      <c r="K62" s="375">
        <f>'Control Center'!O62</f>
        <v>8.0029000000000003E-2</v>
      </c>
      <c r="L62" s="375">
        <f>'Control Center'!P62</f>
        <v>8.0029000000000003E-2</v>
      </c>
      <c r="M62" s="370"/>
      <c r="N62" s="370"/>
      <c r="O62" s="370"/>
      <c r="P62" s="370"/>
      <c r="Q62" s="370"/>
      <c r="R62" s="370"/>
      <c r="S62" s="370"/>
      <c r="T62" s="370"/>
      <c r="U62" s="370"/>
      <c r="V62" s="370"/>
    </row>
    <row r="63" spans="1:22" x14ac:dyDescent="0.3">
      <c r="A63" s="370"/>
      <c r="B63" s="370" t="s">
        <v>268</v>
      </c>
      <c r="C63" s="375">
        <f>'Control Center'!G92</f>
        <v>9.8443000000000003E-2</v>
      </c>
      <c r="D63" s="375">
        <f>'Control Center'!H92</f>
        <v>9.0239E-2</v>
      </c>
      <c r="E63" s="375">
        <f>'Control Center'!I92</f>
        <v>8.2035999999999998E-2</v>
      </c>
      <c r="F63" s="375">
        <f>'Control Center'!J92</f>
        <v>8.2035999999999998E-2</v>
      </c>
      <c r="G63" s="375">
        <f>'Control Center'!K92</f>
        <v>7.3831999999999995E-2</v>
      </c>
      <c r="H63" s="375">
        <f>'Control Center'!L92</f>
        <v>7.3831999999999995E-2</v>
      </c>
      <c r="I63" s="375">
        <f>'Control Center'!M92</f>
        <v>6.5629000000000007E-2</v>
      </c>
      <c r="J63" s="375">
        <f>'Control Center'!N92</f>
        <v>6.5629000000000007E-2</v>
      </c>
      <c r="K63" s="375">
        <f>'Control Center'!O92</f>
        <v>6.5629000000000007E-2</v>
      </c>
      <c r="L63" s="375">
        <f>'Control Center'!P92</f>
        <v>5.7424999999999997E-2</v>
      </c>
      <c r="M63" s="370"/>
      <c r="N63" s="370"/>
      <c r="O63" s="370"/>
      <c r="P63" s="370"/>
      <c r="Q63" s="370"/>
      <c r="R63" s="370"/>
      <c r="S63" s="370"/>
      <c r="T63" s="370"/>
      <c r="U63" s="370"/>
      <c r="V63" s="370"/>
    </row>
    <row r="64" spans="1:22" x14ac:dyDescent="0.3">
      <c r="A64" s="370"/>
      <c r="B64" s="370" t="s">
        <v>269</v>
      </c>
      <c r="C64" s="375">
        <f>'Control Center'!G122</f>
        <v>0.193025</v>
      </c>
      <c r="D64" s="375">
        <f>'Control Center'!H120</f>
        <v>0.63140399999999997</v>
      </c>
      <c r="E64" s="375">
        <f>'Control Center'!I120</f>
        <v>0.64288400000000001</v>
      </c>
      <c r="F64" s="375">
        <f>'Control Center'!J120</f>
        <v>0.65436399999999995</v>
      </c>
      <c r="G64" s="375">
        <f>'Control Center'!K120</f>
        <v>0.66584399999999999</v>
      </c>
      <c r="H64" s="375">
        <f>'Control Center'!L120</f>
        <v>0.66584399999999999</v>
      </c>
      <c r="I64" s="375">
        <f>'Control Center'!M120</f>
        <v>0.67732400000000004</v>
      </c>
      <c r="J64" s="375">
        <f>'Control Center'!N120</f>
        <v>0.68880399999999997</v>
      </c>
      <c r="K64" s="375">
        <f>'Control Center'!O120</f>
        <v>0.68880399999999997</v>
      </c>
      <c r="L64" s="375">
        <f>'Control Center'!P120</f>
        <v>0.68880399999999997</v>
      </c>
      <c r="M64" s="370"/>
      <c r="N64" s="370"/>
      <c r="O64" s="370"/>
      <c r="P64" s="370"/>
      <c r="Q64" s="370"/>
      <c r="R64" s="370"/>
      <c r="S64" s="370"/>
      <c r="T64" s="370"/>
      <c r="U64" s="370"/>
      <c r="V64" s="370"/>
    </row>
    <row r="65" spans="1:22" x14ac:dyDescent="0.3">
      <c r="A65" s="370" t="s">
        <v>64</v>
      </c>
      <c r="B65" s="370"/>
      <c r="C65" s="375">
        <f>INDEX(C66:C68, MATCH('Control Center'!$E$25, 'Formula Audit'!$C$4:$C$6, 0))*C$8</f>
        <v>58749</v>
      </c>
      <c r="D65" s="375">
        <f>INDEX(D66:D68, MATCH('Control Center'!$E$25, 'Formula Audit'!$C$4:$C$6, 0))*D$8</f>
        <v>58749</v>
      </c>
      <c r="E65" s="375">
        <f>INDEX(E66:E68, MATCH('Control Center'!$E$25, 'Formula Audit'!$C$4:$C$6, 0))*E$8</f>
        <v>58749</v>
      </c>
      <c r="F65" s="375">
        <f>INDEX(F66:F68, MATCH('Control Center'!$E$25, 'Formula Audit'!$C$4:$C$6, 0))*F$8</f>
        <v>58749</v>
      </c>
      <c r="G65" s="375">
        <f>INDEX(G66:G68, MATCH('Control Center'!$E$25, 'Formula Audit'!$C$4:$C$6, 0))*G$8</f>
        <v>58749</v>
      </c>
      <c r="H65" s="375">
        <f>INDEX(H66:H68, MATCH('Control Center'!$E$25, 'Formula Audit'!$C$4:$C$6, 0))*H$8</f>
        <v>58749</v>
      </c>
      <c r="I65" s="375">
        <f>INDEX(I66:I68, MATCH('Control Center'!$E$25, 'Formula Audit'!$C$4:$C$6, 0))*I$8</f>
        <v>58749</v>
      </c>
      <c r="J65" s="375">
        <f>INDEX(J66:J68, MATCH('Control Center'!$E$25, 'Formula Audit'!$C$4:$C$6, 0))*J$8</f>
        <v>58749</v>
      </c>
      <c r="K65" s="375">
        <f>INDEX(K66:K68, MATCH('Control Center'!$E$25, 'Formula Audit'!$C$4:$C$6, 0))*K$8</f>
        <v>58749</v>
      </c>
      <c r="L65" s="375">
        <f>INDEX(L66:L68, MATCH('Control Center'!$E$25, 'Formula Audit'!$C$4:$C$6, 0))*L$8</f>
        <v>58749</v>
      </c>
      <c r="M65" s="370"/>
      <c r="N65" s="370"/>
      <c r="O65" s="370"/>
      <c r="P65" s="370"/>
      <c r="Q65" s="370"/>
      <c r="R65" s="370"/>
      <c r="S65" s="370"/>
      <c r="T65" s="370"/>
      <c r="U65" s="370"/>
      <c r="V65" s="370"/>
    </row>
    <row r="66" spans="1:22" x14ac:dyDescent="0.3">
      <c r="A66" s="370"/>
      <c r="B66" s="370" t="s">
        <v>51</v>
      </c>
      <c r="C66" s="375">
        <f>'Control Center'!G63</f>
        <v>58749</v>
      </c>
      <c r="D66" s="375">
        <f>'Control Center'!H63</f>
        <v>58749</v>
      </c>
      <c r="E66" s="375">
        <f>'Control Center'!I63</f>
        <v>58749</v>
      </c>
      <c r="F66" s="375">
        <f>'Control Center'!J63</f>
        <v>58749</v>
      </c>
      <c r="G66" s="375">
        <f>'Control Center'!K63</f>
        <v>58749</v>
      </c>
      <c r="H66" s="375">
        <f>'Control Center'!L63</f>
        <v>58749</v>
      </c>
      <c r="I66" s="375">
        <f>'Control Center'!M63</f>
        <v>58749</v>
      </c>
      <c r="J66" s="375">
        <f>'Control Center'!N63</f>
        <v>58749</v>
      </c>
      <c r="K66" s="375">
        <f>'Control Center'!O63</f>
        <v>58749</v>
      </c>
      <c r="L66" s="375">
        <f>'Control Center'!P63</f>
        <v>58749</v>
      </c>
      <c r="M66" s="370"/>
      <c r="N66" s="370"/>
      <c r="O66" s="370"/>
      <c r="P66" s="370"/>
      <c r="Q66" s="370"/>
      <c r="R66" s="370"/>
      <c r="S66" s="370"/>
      <c r="T66" s="370"/>
      <c r="U66" s="370"/>
      <c r="V66" s="370"/>
    </row>
    <row r="67" spans="1:22" x14ac:dyDescent="0.3">
      <c r="A67" s="370"/>
      <c r="B67" s="370" t="s">
        <v>268</v>
      </c>
      <c r="C67" s="375">
        <f>'Control Center'!G93</f>
        <v>41113</v>
      </c>
      <c r="D67" s="375">
        <f>'Control Center'!H93</f>
        <v>41113</v>
      </c>
      <c r="E67" s="375">
        <f>'Control Center'!I93</f>
        <v>41113</v>
      </c>
      <c r="F67" s="375">
        <f>'Control Center'!J93</f>
        <v>41113</v>
      </c>
      <c r="G67" s="375">
        <f>'Control Center'!K93</f>
        <v>41113</v>
      </c>
      <c r="H67" s="375">
        <f>'Control Center'!L93</f>
        <v>41113</v>
      </c>
      <c r="I67" s="375">
        <f>'Control Center'!M93</f>
        <v>41113</v>
      </c>
      <c r="J67" s="375">
        <f>'Control Center'!N93</f>
        <v>41113</v>
      </c>
      <c r="K67" s="375">
        <f>'Control Center'!O93</f>
        <v>41113</v>
      </c>
      <c r="L67" s="375">
        <f>'Control Center'!P93</f>
        <v>41113</v>
      </c>
      <c r="M67" s="370"/>
      <c r="N67" s="370"/>
      <c r="O67" s="370"/>
      <c r="P67" s="370"/>
      <c r="Q67" s="370"/>
      <c r="R67" s="370"/>
      <c r="S67" s="370"/>
      <c r="T67" s="370"/>
      <c r="U67" s="370"/>
      <c r="V67" s="370"/>
    </row>
    <row r="68" spans="1:22" x14ac:dyDescent="0.3">
      <c r="A68" s="370"/>
      <c r="B68" s="370" t="s">
        <v>269</v>
      </c>
      <c r="C68" s="375">
        <f>'Control Center'!G123</f>
        <v>39103</v>
      </c>
      <c r="D68" s="375">
        <f>'Control Center'!H123</f>
        <v>39103</v>
      </c>
      <c r="E68" s="375">
        <f>'Control Center'!I123</f>
        <v>39103</v>
      </c>
      <c r="F68" s="375">
        <f>'Control Center'!J123</f>
        <v>39103</v>
      </c>
      <c r="G68" s="375">
        <f>'Control Center'!K123</f>
        <v>39103</v>
      </c>
      <c r="H68" s="375">
        <f>'Control Center'!L123</f>
        <v>39103</v>
      </c>
      <c r="I68" s="375">
        <f>'Control Center'!M123</f>
        <v>39103</v>
      </c>
      <c r="J68" s="375">
        <f>'Control Center'!N123</f>
        <v>39103</v>
      </c>
      <c r="K68" s="375">
        <f>'Control Center'!O123</f>
        <v>39103</v>
      </c>
      <c r="L68" s="375">
        <f>'Control Center'!P123</f>
        <v>39103</v>
      </c>
      <c r="M68" s="370"/>
      <c r="N68" s="370"/>
      <c r="O68" s="370"/>
      <c r="P68" s="370"/>
      <c r="Q68" s="370"/>
      <c r="R68" s="370"/>
      <c r="S68" s="370"/>
      <c r="T68" s="370"/>
      <c r="U68" s="370"/>
      <c r="V68" s="370"/>
    </row>
    <row r="69" spans="1:22" x14ac:dyDescent="0.3">
      <c r="A69" s="370" t="s">
        <v>65</v>
      </c>
      <c r="B69" s="370"/>
      <c r="C69" s="375">
        <f>INDEX(C70:C72, MATCH('Control Center'!$E$25, 'Formula Audit'!$C$4:$C$6, 0))*C$8</f>
        <v>4.5594000000000003E-2</v>
      </c>
      <c r="D69" s="375">
        <f>INDEX(D70:D72, MATCH('Control Center'!$E$25, 'Formula Audit'!$C$4:$C$6, 0))*D$8</f>
        <v>4.5594000000000003E-2</v>
      </c>
      <c r="E69" s="375">
        <f>INDEX(E70:E72, MATCH('Control Center'!$E$25, 'Formula Audit'!$C$4:$C$6, 0))*E$8</f>
        <v>3.9895E-2</v>
      </c>
      <c r="F69" s="375">
        <f>INDEX(F70:F72, MATCH('Control Center'!$E$25, 'Formula Audit'!$C$4:$C$6, 0))*F$8</f>
        <v>3.9895E-2</v>
      </c>
      <c r="G69" s="375">
        <f>INDEX(G70:G72, MATCH('Control Center'!$E$25, 'Formula Audit'!$C$4:$C$6, 0))*G$8</f>
        <v>3.9895E-2</v>
      </c>
      <c r="H69" s="375">
        <f>INDEX(H70:H72, MATCH('Control Center'!$E$25, 'Formula Audit'!$C$4:$C$6, 0))*H$8</f>
        <v>3.9895E-2</v>
      </c>
      <c r="I69" s="375">
        <f>INDEX(I70:I72, MATCH('Control Center'!$E$25, 'Formula Audit'!$C$4:$C$6, 0))*I$8</f>
        <v>3.4195000000000003E-2</v>
      </c>
      <c r="J69" s="375">
        <f>INDEX(J70:J72, MATCH('Control Center'!$E$25, 'Formula Audit'!$C$4:$C$6, 0))*J$8</f>
        <v>3.4195000000000003E-2</v>
      </c>
      <c r="K69" s="375">
        <f>INDEX(K70:K72, MATCH('Control Center'!$E$25, 'Formula Audit'!$C$4:$C$6, 0))*K$8</f>
        <v>3.4195000000000003E-2</v>
      </c>
      <c r="L69" s="375">
        <f>INDEX(L70:L72, MATCH('Control Center'!$E$25, 'Formula Audit'!$C$4:$C$6, 0))*L$8</f>
        <v>3.4195000000000003E-2</v>
      </c>
      <c r="M69" s="370"/>
      <c r="N69" s="370"/>
      <c r="O69" s="370"/>
      <c r="P69" s="370"/>
      <c r="Q69" s="370"/>
      <c r="R69" s="370"/>
      <c r="S69" s="370"/>
      <c r="T69" s="370"/>
      <c r="U69" s="370"/>
      <c r="V69" s="370"/>
    </row>
    <row r="70" spans="1:22" x14ac:dyDescent="0.3">
      <c r="A70" s="370"/>
      <c r="B70" s="370" t="s">
        <v>51</v>
      </c>
      <c r="C70" s="375">
        <f>'Control Center'!G64</f>
        <v>4.5594000000000003E-2</v>
      </c>
      <c r="D70" s="375">
        <f>'Control Center'!H64</f>
        <v>4.5594000000000003E-2</v>
      </c>
      <c r="E70" s="375">
        <f>'Control Center'!I64</f>
        <v>3.9895E-2</v>
      </c>
      <c r="F70" s="375">
        <f>'Control Center'!J64</f>
        <v>3.9895E-2</v>
      </c>
      <c r="G70" s="375">
        <f>'Control Center'!K64</f>
        <v>3.9895E-2</v>
      </c>
      <c r="H70" s="375">
        <f>'Control Center'!L64</f>
        <v>3.9895E-2</v>
      </c>
      <c r="I70" s="375">
        <f>'Control Center'!M64</f>
        <v>3.4195000000000003E-2</v>
      </c>
      <c r="J70" s="375">
        <f>'Control Center'!N64</f>
        <v>3.4195000000000003E-2</v>
      </c>
      <c r="K70" s="375">
        <f>'Control Center'!O64</f>
        <v>3.4195000000000003E-2</v>
      </c>
      <c r="L70" s="375">
        <f>'Control Center'!P64</f>
        <v>3.4195000000000003E-2</v>
      </c>
      <c r="M70" s="370"/>
      <c r="N70" s="370"/>
      <c r="O70" s="370"/>
      <c r="P70" s="370"/>
      <c r="Q70" s="370"/>
      <c r="R70" s="370"/>
      <c r="S70" s="370"/>
      <c r="T70" s="370"/>
      <c r="U70" s="370"/>
      <c r="V70" s="370"/>
    </row>
    <row r="71" spans="1:22" x14ac:dyDescent="0.3">
      <c r="A71" s="370"/>
      <c r="B71" s="370" t="s">
        <v>268</v>
      </c>
      <c r="C71" s="375">
        <f>'Control Center'!G94</f>
        <v>4.3168999999999999E-2</v>
      </c>
      <c r="D71" s="375">
        <f>'Control Center'!H94</f>
        <v>4.3168999999999999E-2</v>
      </c>
      <c r="E71" s="375">
        <f>'Control Center'!I94</f>
        <v>3.7773000000000001E-2</v>
      </c>
      <c r="F71" s="375">
        <f>'Control Center'!J94</f>
        <v>3.7773000000000001E-2</v>
      </c>
      <c r="G71" s="375">
        <f>'Control Center'!K94</f>
        <v>3.7773000000000001E-2</v>
      </c>
      <c r="H71" s="375">
        <f>'Control Center'!L94</f>
        <v>3.2377000000000003E-2</v>
      </c>
      <c r="I71" s="375">
        <f>'Control Center'!M94</f>
        <v>3.2377000000000003E-2</v>
      </c>
      <c r="J71" s="375">
        <f>'Control Center'!N94</f>
        <v>3.2377000000000003E-2</v>
      </c>
      <c r="K71" s="375">
        <f>'Control Center'!O94</f>
        <v>3.2377000000000003E-2</v>
      </c>
      <c r="L71" s="375">
        <f>'Control Center'!P94</f>
        <v>2.6981000000000002E-2</v>
      </c>
      <c r="M71" s="370"/>
      <c r="N71" s="370"/>
      <c r="O71" s="370"/>
      <c r="P71" s="370"/>
      <c r="Q71" s="370"/>
      <c r="R71" s="370"/>
      <c r="S71" s="370"/>
      <c r="T71" s="370"/>
      <c r="U71" s="370"/>
      <c r="V71" s="370"/>
    </row>
    <row r="72" spans="1:22" x14ac:dyDescent="0.3">
      <c r="A72" s="370"/>
      <c r="B72" s="370" t="s">
        <v>269</v>
      </c>
      <c r="C72" s="375">
        <f>'Control Center'!G124</f>
        <v>5.7921E-2</v>
      </c>
      <c r="D72" s="375">
        <f>'Control Center'!H124</f>
        <v>5.7921E-2</v>
      </c>
      <c r="E72" s="375">
        <f>'Control Center'!I124</f>
        <v>5.7921E-2</v>
      </c>
      <c r="F72" s="375">
        <f>'Control Center'!J124</f>
        <v>5.2129000000000002E-2</v>
      </c>
      <c r="G72" s="375">
        <f>'Control Center'!K124</f>
        <v>5.2129000000000002E-2</v>
      </c>
      <c r="H72" s="375">
        <f>'Control Center'!L124</f>
        <v>4.6337000000000003E-2</v>
      </c>
      <c r="I72" s="375">
        <f>'Control Center'!M124</f>
        <v>4.6337000000000003E-2</v>
      </c>
      <c r="J72" s="375">
        <f>'Control Center'!N124</f>
        <v>4.6337000000000003E-2</v>
      </c>
      <c r="K72" s="375">
        <f>'Control Center'!O124</f>
        <v>4.0544999999999998E-2</v>
      </c>
      <c r="L72" s="375">
        <f>'Control Center'!P124</f>
        <v>4.0544999999999998E-2</v>
      </c>
      <c r="M72" s="370"/>
      <c r="N72" s="370"/>
      <c r="O72" s="370"/>
      <c r="P72" s="370"/>
      <c r="Q72" s="370"/>
      <c r="R72" s="370"/>
      <c r="S72" s="370"/>
      <c r="T72" s="370"/>
      <c r="U72" s="370"/>
      <c r="V72" s="370"/>
    </row>
    <row r="73" spans="1:22" x14ac:dyDescent="0.3">
      <c r="A73" s="370" t="s">
        <v>66</v>
      </c>
      <c r="B73" s="370"/>
      <c r="C73" s="375">
        <f>INDEX(C74:C76, MATCH('Control Center'!$E$25, 'Formula Audit'!$C$4:$C$6, 0))*C$8</f>
        <v>34135</v>
      </c>
      <c r="D73" s="375">
        <f>INDEX(D74:D76, MATCH('Control Center'!$E$25, 'Formula Audit'!$C$4:$C$6, 0))*D$8</f>
        <v>34135</v>
      </c>
      <c r="E73" s="375">
        <f>INDEX(E74:E76, MATCH('Control Center'!$E$25, 'Formula Audit'!$C$4:$C$6, 0))*E$8</f>
        <v>34135</v>
      </c>
      <c r="F73" s="375">
        <f>INDEX(F74:F76, MATCH('Control Center'!$E$25, 'Formula Audit'!$C$4:$C$6, 0))*F$8</f>
        <v>34135</v>
      </c>
      <c r="G73" s="375">
        <f>INDEX(G74:G76, MATCH('Control Center'!$E$25, 'Formula Audit'!$C$4:$C$6, 0))*G$8</f>
        <v>34135</v>
      </c>
      <c r="H73" s="375">
        <f>INDEX(H74:H76, MATCH('Control Center'!$E$25, 'Formula Audit'!$C$4:$C$6, 0))*H$8</f>
        <v>34135</v>
      </c>
      <c r="I73" s="375">
        <f>INDEX(I74:I76, MATCH('Control Center'!$E$25, 'Formula Audit'!$C$4:$C$6, 0))*I$8</f>
        <v>34135</v>
      </c>
      <c r="J73" s="375">
        <f>INDEX(J74:J76, MATCH('Control Center'!$E$25, 'Formula Audit'!$C$4:$C$6, 0))*J$8</f>
        <v>34135</v>
      </c>
      <c r="K73" s="375">
        <f>INDEX(K74:K76, MATCH('Control Center'!$E$25, 'Formula Audit'!$C$4:$C$6, 0))*K$8</f>
        <v>34135</v>
      </c>
      <c r="L73" s="375">
        <f>INDEX(L74:L76, MATCH('Control Center'!$E$25, 'Formula Audit'!$C$4:$C$6, 0))*L$8</f>
        <v>34135</v>
      </c>
      <c r="M73" s="370"/>
      <c r="N73" s="370"/>
      <c r="O73" s="370"/>
      <c r="P73" s="370"/>
      <c r="Q73" s="370"/>
      <c r="R73" s="370"/>
      <c r="S73" s="370"/>
      <c r="T73" s="370"/>
      <c r="U73" s="370"/>
      <c r="V73" s="370"/>
    </row>
    <row r="74" spans="1:22" x14ac:dyDescent="0.3">
      <c r="A74" s="370"/>
      <c r="B74" s="370" t="s">
        <v>51</v>
      </c>
      <c r="C74" s="375">
        <f>'Control Center'!G65</f>
        <v>34135</v>
      </c>
      <c r="D74" s="375">
        <f>'Control Center'!H65</f>
        <v>34135</v>
      </c>
      <c r="E74" s="375">
        <f>'Control Center'!I65</f>
        <v>34135</v>
      </c>
      <c r="F74" s="375">
        <f>'Control Center'!J65</f>
        <v>34135</v>
      </c>
      <c r="G74" s="375">
        <f>'Control Center'!K65</f>
        <v>34135</v>
      </c>
      <c r="H74" s="375">
        <f>'Control Center'!L65</f>
        <v>34135</v>
      </c>
      <c r="I74" s="375">
        <f>'Control Center'!M65</f>
        <v>34135</v>
      </c>
      <c r="J74" s="375">
        <f>'Control Center'!N65</f>
        <v>34135</v>
      </c>
      <c r="K74" s="375">
        <f>'Control Center'!O65</f>
        <v>34135</v>
      </c>
      <c r="L74" s="375">
        <f>'Control Center'!P65</f>
        <v>34135</v>
      </c>
      <c r="M74" s="370"/>
      <c r="N74" s="370"/>
      <c r="O74" s="370"/>
      <c r="P74" s="370"/>
      <c r="Q74" s="370"/>
      <c r="R74" s="370"/>
      <c r="S74" s="370"/>
      <c r="T74" s="370"/>
      <c r="U74" s="370"/>
      <c r="V74" s="370"/>
    </row>
    <row r="75" spans="1:22" x14ac:dyDescent="0.3">
      <c r="A75" s="370"/>
      <c r="B75" s="370" t="s">
        <v>268</v>
      </c>
      <c r="C75" s="375">
        <f>'Control Center'!G95</f>
        <v>31054</v>
      </c>
      <c r="D75" s="375">
        <f>'Control Center'!H95</f>
        <v>31054</v>
      </c>
      <c r="E75" s="375">
        <f>'Control Center'!I95</f>
        <v>31054</v>
      </c>
      <c r="F75" s="375">
        <f>'Control Center'!J95</f>
        <v>31054</v>
      </c>
      <c r="G75" s="375">
        <f>'Control Center'!K95</f>
        <v>31054</v>
      </c>
      <c r="H75" s="375">
        <f>'Control Center'!L95</f>
        <v>31054</v>
      </c>
      <c r="I75" s="375">
        <f>'Control Center'!M95</f>
        <v>31054</v>
      </c>
      <c r="J75" s="375">
        <f>'Control Center'!N95</f>
        <v>31054</v>
      </c>
      <c r="K75" s="375">
        <f>'Control Center'!O95</f>
        <v>31054</v>
      </c>
      <c r="L75" s="375">
        <f>'Control Center'!P95</f>
        <v>31054</v>
      </c>
      <c r="M75" s="370"/>
      <c r="N75" s="370"/>
      <c r="O75" s="370"/>
      <c r="P75" s="370"/>
      <c r="Q75" s="370"/>
      <c r="R75" s="370"/>
      <c r="S75" s="370"/>
      <c r="T75" s="370"/>
      <c r="U75" s="370"/>
      <c r="V75" s="370"/>
    </row>
    <row r="76" spans="1:22" x14ac:dyDescent="0.3">
      <c r="A76" s="370"/>
      <c r="B76" s="370" t="s">
        <v>269</v>
      </c>
      <c r="C76" s="375">
        <f>'Control Center'!G125</f>
        <v>53958</v>
      </c>
      <c r="D76" s="375">
        <f>'Control Center'!H125</f>
        <v>53958</v>
      </c>
      <c r="E76" s="375">
        <f>'Control Center'!I125</f>
        <v>53958</v>
      </c>
      <c r="F76" s="375">
        <f>'Control Center'!J125</f>
        <v>53958</v>
      </c>
      <c r="G76" s="375">
        <f>'Control Center'!K125</f>
        <v>53958</v>
      </c>
      <c r="H76" s="375">
        <f>'Control Center'!L125</f>
        <v>53958</v>
      </c>
      <c r="I76" s="375">
        <f>'Control Center'!M125</f>
        <v>53958</v>
      </c>
      <c r="J76" s="375">
        <f>'Control Center'!N125</f>
        <v>53958</v>
      </c>
      <c r="K76" s="375">
        <f>'Control Center'!O125</f>
        <v>53958</v>
      </c>
      <c r="L76" s="375">
        <f>'Control Center'!P125</f>
        <v>53958</v>
      </c>
      <c r="M76" s="370"/>
      <c r="N76" s="370"/>
      <c r="O76" s="370"/>
      <c r="P76" s="370"/>
      <c r="Q76" s="370"/>
      <c r="R76" s="370"/>
      <c r="S76" s="370"/>
      <c r="T76" s="370"/>
      <c r="U76" s="370"/>
      <c r="V76" s="370"/>
    </row>
    <row r="77" spans="1:22" x14ac:dyDescent="0.3">
      <c r="A77" s="370" t="s">
        <v>67</v>
      </c>
      <c r="B77" s="370"/>
      <c r="C77" s="375">
        <f>INDEX(C78:C80, MATCH('Control Center'!$E$25, 'Formula Audit'!$C$4:$C$6, 0))*C$8</f>
        <v>7.0540000000000004E-3</v>
      </c>
      <c r="D77" s="375">
        <f>INDEX(D78:D80, MATCH('Control Center'!$E$25, 'Formula Audit'!$C$4:$C$6, 0))*D$8</f>
        <v>7.0540000000000004E-3</v>
      </c>
      <c r="E77" s="375">
        <f>INDEX(E78:E80, MATCH('Control Center'!$E$25, 'Formula Audit'!$C$4:$C$6, 0))*E$8</f>
        <v>7.0540000000000004E-3</v>
      </c>
      <c r="F77" s="375">
        <f>INDEX(F78:F80, MATCH('Control Center'!$E$25, 'Formula Audit'!$C$4:$C$6, 0))*F$8</f>
        <v>7.0540000000000004E-3</v>
      </c>
      <c r="G77" s="375">
        <f>INDEX(G78:G80, MATCH('Control Center'!$E$25, 'Formula Audit'!$C$4:$C$6, 0))*G$8</f>
        <v>7.0540000000000004E-3</v>
      </c>
      <c r="H77" s="375">
        <f>INDEX(H78:H80, MATCH('Control Center'!$E$25, 'Formula Audit'!$C$4:$C$6, 0))*H$8</f>
        <v>7.0540000000000004E-3</v>
      </c>
      <c r="I77" s="375">
        <f>INDEX(I78:I80, MATCH('Control Center'!$E$25, 'Formula Audit'!$C$4:$C$6, 0))*I$8</f>
        <v>7.0540000000000004E-3</v>
      </c>
      <c r="J77" s="375">
        <f>INDEX(J78:J80, MATCH('Control Center'!$E$25, 'Formula Audit'!$C$4:$C$6, 0))*J$8</f>
        <v>7.0540000000000004E-3</v>
      </c>
      <c r="K77" s="375">
        <f>INDEX(K78:K80, MATCH('Control Center'!$E$25, 'Formula Audit'!$C$4:$C$6, 0))*K$8</f>
        <v>7.0540000000000004E-3</v>
      </c>
      <c r="L77" s="375">
        <f>INDEX(L78:L80, MATCH('Control Center'!$E$25, 'Formula Audit'!$C$4:$C$6, 0))*L$8</f>
        <v>7.0540000000000004E-3</v>
      </c>
      <c r="M77" s="370"/>
      <c r="N77" s="370"/>
      <c r="O77" s="370"/>
      <c r="P77" s="370"/>
      <c r="Q77" s="370"/>
      <c r="R77" s="370"/>
      <c r="S77" s="370"/>
      <c r="T77" s="370"/>
      <c r="U77" s="370"/>
      <c r="V77" s="370"/>
    </row>
    <row r="78" spans="1:22" x14ac:dyDescent="0.3">
      <c r="A78" s="370"/>
      <c r="B78" s="370" t="s">
        <v>51</v>
      </c>
      <c r="C78" s="375">
        <f>'Control Center'!G66</f>
        <v>7.0540000000000004E-3</v>
      </c>
      <c r="D78" s="375">
        <f>'Control Center'!H66</f>
        <v>7.0540000000000004E-3</v>
      </c>
      <c r="E78" s="375">
        <f>'Control Center'!I66</f>
        <v>7.0540000000000004E-3</v>
      </c>
      <c r="F78" s="375">
        <f>'Control Center'!J66</f>
        <v>7.0540000000000004E-3</v>
      </c>
      <c r="G78" s="375">
        <f>'Control Center'!K66</f>
        <v>7.0540000000000004E-3</v>
      </c>
      <c r="H78" s="375">
        <f>'Control Center'!L66</f>
        <v>7.0540000000000004E-3</v>
      </c>
      <c r="I78" s="375">
        <f>'Control Center'!M66</f>
        <v>7.0540000000000004E-3</v>
      </c>
      <c r="J78" s="375">
        <f>'Control Center'!N66</f>
        <v>7.0540000000000004E-3</v>
      </c>
      <c r="K78" s="375">
        <f>'Control Center'!O66</f>
        <v>7.0540000000000004E-3</v>
      </c>
      <c r="L78" s="375">
        <f>'Control Center'!P66</f>
        <v>7.0540000000000004E-3</v>
      </c>
      <c r="M78" s="370"/>
      <c r="N78" s="370"/>
      <c r="O78" s="370"/>
      <c r="P78" s="370"/>
      <c r="Q78" s="370"/>
      <c r="R78" s="370"/>
      <c r="S78" s="370"/>
      <c r="T78" s="370"/>
      <c r="U78" s="370"/>
      <c r="V78" s="370"/>
    </row>
    <row r="79" spans="1:22" x14ac:dyDescent="0.3">
      <c r="A79" s="370"/>
      <c r="B79" s="370" t="s">
        <v>268</v>
      </c>
      <c r="C79" s="375">
        <f>'Control Center'!G96</f>
        <v>9.0609999999999996E-3</v>
      </c>
      <c r="D79" s="375">
        <f>'Control Center'!H96</f>
        <v>9.0609999999999996E-3</v>
      </c>
      <c r="E79" s="375">
        <f>'Control Center'!I96</f>
        <v>9.0609999999999996E-3</v>
      </c>
      <c r="F79" s="375">
        <f>'Control Center'!J96</f>
        <v>9.0609999999999996E-3</v>
      </c>
      <c r="G79" s="375">
        <f>'Control Center'!K96</f>
        <v>9.0609999999999996E-3</v>
      </c>
      <c r="H79" s="375">
        <f>'Control Center'!L96</f>
        <v>9.0609999999999996E-3</v>
      </c>
      <c r="I79" s="375">
        <f>'Control Center'!M96</f>
        <v>9.0609999999999996E-3</v>
      </c>
      <c r="J79" s="375">
        <f>'Control Center'!N96</f>
        <v>9.0609999999999996E-3</v>
      </c>
      <c r="K79" s="375">
        <f>'Control Center'!O96</f>
        <v>9.0609999999999996E-3</v>
      </c>
      <c r="L79" s="375">
        <f>'Control Center'!P96</f>
        <v>9.0609999999999996E-3</v>
      </c>
      <c r="M79" s="370"/>
      <c r="N79" s="370"/>
      <c r="O79" s="370"/>
      <c r="P79" s="370"/>
      <c r="Q79" s="370"/>
      <c r="R79" s="370"/>
      <c r="S79" s="370"/>
      <c r="T79" s="370"/>
      <c r="U79" s="370"/>
      <c r="V79" s="370"/>
    </row>
    <row r="80" spans="1:22" x14ac:dyDescent="0.3">
      <c r="A80" s="370"/>
      <c r="B80" s="370" t="s">
        <v>269</v>
      </c>
      <c r="C80" s="375">
        <f>'Control Center'!G126</f>
        <v>9.9620000000000004E-3</v>
      </c>
      <c r="D80" s="375">
        <f>'Control Center'!H126</f>
        <v>9.9620000000000004E-3</v>
      </c>
      <c r="E80" s="375">
        <f>'Control Center'!I126</f>
        <v>9.9620000000000004E-3</v>
      </c>
      <c r="F80" s="375">
        <f>'Control Center'!J126</f>
        <v>9.9620000000000004E-3</v>
      </c>
      <c r="G80" s="375">
        <f>'Control Center'!K126</f>
        <v>9.9620000000000004E-3</v>
      </c>
      <c r="H80" s="375">
        <f>'Control Center'!L126</f>
        <v>9.9620000000000004E-3</v>
      </c>
      <c r="I80" s="375">
        <f>'Control Center'!M126</f>
        <v>9.9620000000000004E-3</v>
      </c>
      <c r="J80" s="375">
        <f>'Control Center'!N126</f>
        <v>9.9620000000000004E-3</v>
      </c>
      <c r="K80" s="375">
        <f>'Control Center'!O126</f>
        <v>9.9620000000000004E-3</v>
      </c>
      <c r="L80" s="375">
        <f>'Control Center'!P126</f>
        <v>9.9620000000000004E-3</v>
      </c>
      <c r="M80" s="370"/>
      <c r="N80" s="370"/>
      <c r="O80" s="370"/>
      <c r="P80" s="370"/>
      <c r="Q80" s="370"/>
      <c r="R80" s="370"/>
      <c r="S80" s="370"/>
      <c r="T80" s="370"/>
      <c r="U80" s="370"/>
      <c r="V80" s="370"/>
    </row>
    <row r="81" spans="1:22" x14ac:dyDescent="0.3">
      <c r="A81" s="370" t="s">
        <v>278</v>
      </c>
      <c r="B81" s="370"/>
      <c r="C81" s="375">
        <f>INDEX(C82:C84, MATCH('Control Center'!$E$25, 'Formula Audit'!$C$4:$C$6, 0))*C$8</f>
        <v>0.41451700000000002</v>
      </c>
      <c r="D81" s="375">
        <f>INDEX(D82:D84, MATCH('Control Center'!$E$25, 'Formula Audit'!$C$4:$C$6, 0))*D$8</f>
        <v>0.41451700000000002</v>
      </c>
      <c r="E81" s="375">
        <f>INDEX(E82:E84, MATCH('Control Center'!$E$25, 'Formula Audit'!$C$4:$C$6, 0))*E$8</f>
        <v>0.41451700000000002</v>
      </c>
      <c r="F81" s="375">
        <f>INDEX(F82:F84, MATCH('Control Center'!$E$25, 'Formula Audit'!$C$4:$C$6, 0))*F$8</f>
        <v>0.41451700000000002</v>
      </c>
      <c r="G81" s="375">
        <f>INDEX(G82:G84, MATCH('Control Center'!$E$25, 'Formula Audit'!$C$4:$C$6, 0))*G$8</f>
        <v>0.41451700000000002</v>
      </c>
      <c r="H81" s="375">
        <f>INDEX(H82:H84, MATCH('Control Center'!$E$25, 'Formula Audit'!$C$4:$C$6, 0))*H$8</f>
        <v>0.41451700000000002</v>
      </c>
      <c r="I81" s="375">
        <f>INDEX(I82:I84, MATCH('Control Center'!$E$25, 'Formula Audit'!$C$4:$C$6, 0))*I$8</f>
        <v>0.41451700000000002</v>
      </c>
      <c r="J81" s="375">
        <f>INDEX(J82:J84, MATCH('Control Center'!$E$25, 'Formula Audit'!$C$4:$C$6, 0))*J$8</f>
        <v>0.41451700000000002</v>
      </c>
      <c r="K81" s="375">
        <f>INDEX(K82:K84, MATCH('Control Center'!$E$25, 'Formula Audit'!$C$4:$C$6, 0))*K$8</f>
        <v>0.41451700000000002</v>
      </c>
      <c r="L81" s="375">
        <f>INDEX(L82:L84, MATCH('Control Center'!$E$25, 'Formula Audit'!$C$4:$C$6, 0))*L$8</f>
        <v>0.41451700000000002</v>
      </c>
      <c r="M81" s="370"/>
      <c r="N81" s="370"/>
      <c r="O81" s="370"/>
      <c r="P81" s="370"/>
      <c r="Q81" s="370"/>
      <c r="R81" s="370"/>
      <c r="S81" s="370"/>
      <c r="T81" s="370"/>
      <c r="U81" s="370"/>
      <c r="V81" s="370"/>
    </row>
    <row r="82" spans="1:22" x14ac:dyDescent="0.3">
      <c r="A82" s="370"/>
      <c r="B82" s="370" t="s">
        <v>51</v>
      </c>
      <c r="C82" s="375">
        <f>'Control Center'!G67</f>
        <v>0.41451700000000002</v>
      </c>
      <c r="D82" s="375">
        <f>'Control Center'!H67</f>
        <v>0.41451700000000002</v>
      </c>
      <c r="E82" s="375">
        <f>'Control Center'!I67</f>
        <v>0.41451700000000002</v>
      </c>
      <c r="F82" s="375">
        <f>'Control Center'!J67</f>
        <v>0.41451700000000002</v>
      </c>
      <c r="G82" s="375">
        <f>'Control Center'!K67</f>
        <v>0.41451700000000002</v>
      </c>
      <c r="H82" s="375">
        <f>'Control Center'!L67</f>
        <v>0.41451700000000002</v>
      </c>
      <c r="I82" s="375">
        <f>'Control Center'!M67</f>
        <v>0.41451700000000002</v>
      </c>
      <c r="J82" s="375">
        <f>'Control Center'!N67</f>
        <v>0.41451700000000002</v>
      </c>
      <c r="K82" s="375">
        <f>'Control Center'!O67</f>
        <v>0.41451700000000002</v>
      </c>
      <c r="L82" s="375">
        <f>'Control Center'!P67</f>
        <v>0.41451700000000002</v>
      </c>
      <c r="M82" s="370"/>
      <c r="N82" s="370"/>
      <c r="O82" s="370"/>
      <c r="P82" s="370"/>
      <c r="Q82" s="370"/>
      <c r="R82" s="370"/>
      <c r="S82" s="370"/>
      <c r="T82" s="370"/>
      <c r="U82" s="370"/>
      <c r="V82" s="370"/>
    </row>
    <row r="83" spans="1:22" x14ac:dyDescent="0.3">
      <c r="A83" s="370"/>
      <c r="B83" s="370" t="s">
        <v>268</v>
      </c>
      <c r="C83" s="375">
        <f>'Control Center'!G97</f>
        <v>0.37586999999999998</v>
      </c>
      <c r="D83" s="375">
        <f>'Control Center'!H97</f>
        <v>0.37586999999999998</v>
      </c>
      <c r="E83" s="375">
        <f>'Control Center'!I97</f>
        <v>0.37586999999999998</v>
      </c>
      <c r="F83" s="375">
        <f>'Control Center'!J97</f>
        <v>0.37586999999999998</v>
      </c>
      <c r="G83" s="375">
        <f>'Control Center'!K97</f>
        <v>0.37586999999999998</v>
      </c>
      <c r="H83" s="375">
        <f>'Control Center'!L97</f>
        <v>0.37586999999999998</v>
      </c>
      <c r="I83" s="375">
        <f>'Control Center'!M97</f>
        <v>0.37586999999999998</v>
      </c>
      <c r="J83" s="375">
        <f>'Control Center'!N97</f>
        <v>0.37586999999999998</v>
      </c>
      <c r="K83" s="375">
        <f>'Control Center'!O97</f>
        <v>0.37586999999999998</v>
      </c>
      <c r="L83" s="375">
        <f>'Control Center'!P97</f>
        <v>0.37586999999999998</v>
      </c>
      <c r="M83" s="370"/>
      <c r="N83" s="370"/>
      <c r="O83" s="370"/>
      <c r="P83" s="370"/>
      <c r="Q83" s="370"/>
      <c r="R83" s="370"/>
      <c r="S83" s="370"/>
      <c r="T83" s="370"/>
      <c r="U83" s="370"/>
      <c r="V83" s="370"/>
    </row>
    <row r="84" spans="1:22" x14ac:dyDescent="0.3">
      <c r="A84" s="370"/>
      <c r="B84" s="370" t="s">
        <v>269</v>
      </c>
      <c r="C84" s="375">
        <f>'Control Center'!G127</f>
        <v>0.47835800000000001</v>
      </c>
      <c r="D84" s="375">
        <f>'Control Center'!H127</f>
        <v>0.47835800000000001</v>
      </c>
      <c r="E84" s="375">
        <f>'Control Center'!I127</f>
        <v>0.47835800000000001</v>
      </c>
      <c r="F84" s="375">
        <f>'Control Center'!J127</f>
        <v>0.47835800000000001</v>
      </c>
      <c r="G84" s="375">
        <f>'Control Center'!K127</f>
        <v>0.47835800000000001</v>
      </c>
      <c r="H84" s="375">
        <f>'Control Center'!L127</f>
        <v>0.47835800000000001</v>
      </c>
      <c r="I84" s="375">
        <f>'Control Center'!M127</f>
        <v>0.47835800000000001</v>
      </c>
      <c r="J84" s="375">
        <f>'Control Center'!N127</f>
        <v>0.47835800000000001</v>
      </c>
      <c r="K84" s="375">
        <f>'Control Center'!O127</f>
        <v>0.47835800000000001</v>
      </c>
      <c r="L84" s="375">
        <f>'Control Center'!P127</f>
        <v>0.47835800000000001</v>
      </c>
      <c r="M84" s="370"/>
      <c r="N84" s="370"/>
      <c r="O84" s="370"/>
      <c r="P84" s="370"/>
      <c r="Q84" s="370"/>
      <c r="R84" s="370"/>
      <c r="S84" s="370"/>
      <c r="T84" s="370"/>
      <c r="U84" s="370"/>
      <c r="V84" s="370"/>
    </row>
    <row r="85" spans="1:22" x14ac:dyDescent="0.3">
      <c r="A85" s="370" t="s">
        <v>70</v>
      </c>
      <c r="B85" s="370"/>
      <c r="C85" s="375">
        <f>INDEX(C86:C88, MATCH('Control Center'!$E$25, 'Formula Audit'!$C$4:$C$6, 0))*C$8</f>
        <v>0.26483400000000001</v>
      </c>
      <c r="D85" s="375">
        <f>INDEX(D86:D88, MATCH('Control Center'!$E$25, 'Formula Audit'!$C$4:$C$6, 0))*D$8</f>
        <v>0.26483400000000001</v>
      </c>
      <c r="E85" s="375">
        <f>INDEX(E86:E88, MATCH('Control Center'!$E$25, 'Formula Audit'!$C$4:$C$6, 0))*E$8</f>
        <v>0.26483400000000001</v>
      </c>
      <c r="F85" s="375">
        <f>INDEX(F86:F88, MATCH('Control Center'!$E$25, 'Formula Audit'!$C$4:$C$6, 0))*F$8</f>
        <v>0.26483400000000001</v>
      </c>
      <c r="G85" s="375">
        <f>INDEX(G86:G88, MATCH('Control Center'!$E$25, 'Formula Audit'!$C$4:$C$6, 0))*G$8</f>
        <v>0.26483400000000001</v>
      </c>
      <c r="H85" s="375">
        <f>INDEX(H86:H88, MATCH('Control Center'!$E$25, 'Formula Audit'!$C$4:$C$6, 0))*H$8</f>
        <v>0.26483400000000001</v>
      </c>
      <c r="I85" s="375">
        <f>INDEX(I86:I88, MATCH('Control Center'!$E$25, 'Formula Audit'!$C$4:$C$6, 0))*I$8</f>
        <v>0.26483400000000001</v>
      </c>
      <c r="J85" s="375">
        <f>INDEX(J86:J88, MATCH('Control Center'!$E$25, 'Formula Audit'!$C$4:$C$6, 0))*J$8</f>
        <v>0.26483400000000001</v>
      </c>
      <c r="K85" s="375">
        <f>INDEX(K86:K88, MATCH('Control Center'!$E$25, 'Formula Audit'!$C$4:$C$6, 0))*K$8</f>
        <v>0.26483400000000001</v>
      </c>
      <c r="L85" s="375">
        <f>INDEX(L86:L88, MATCH('Control Center'!$E$25, 'Formula Audit'!$C$4:$C$6, 0))*L$8</f>
        <v>0.26483400000000001</v>
      </c>
      <c r="M85" s="370"/>
      <c r="N85" s="370"/>
      <c r="O85" s="370"/>
      <c r="P85" s="370"/>
      <c r="Q85" s="370"/>
      <c r="R85" s="370"/>
      <c r="S85" s="370"/>
      <c r="T85" s="370"/>
      <c r="U85" s="370"/>
      <c r="V85" s="370"/>
    </row>
    <row r="86" spans="1:22" x14ac:dyDescent="0.3">
      <c r="A86" s="370"/>
      <c r="B86" s="370" t="s">
        <v>51</v>
      </c>
      <c r="C86" s="375">
        <f>'Control Center'!G68</f>
        <v>0.26483400000000001</v>
      </c>
      <c r="D86" s="375">
        <f>'Control Center'!H68</f>
        <v>0.26483400000000001</v>
      </c>
      <c r="E86" s="375">
        <f>'Control Center'!I68</f>
        <v>0.26483400000000001</v>
      </c>
      <c r="F86" s="375">
        <f>'Control Center'!J68</f>
        <v>0.26483400000000001</v>
      </c>
      <c r="G86" s="375">
        <f>'Control Center'!K68</f>
        <v>0.26483400000000001</v>
      </c>
      <c r="H86" s="375">
        <f>'Control Center'!L68</f>
        <v>0.26483400000000001</v>
      </c>
      <c r="I86" s="375">
        <f>'Control Center'!M68</f>
        <v>0.26483400000000001</v>
      </c>
      <c r="J86" s="375">
        <f>'Control Center'!N68</f>
        <v>0.26483400000000001</v>
      </c>
      <c r="K86" s="375">
        <f>'Control Center'!O68</f>
        <v>0.26483400000000001</v>
      </c>
      <c r="L86" s="375">
        <f>'Control Center'!P68</f>
        <v>0.26483400000000001</v>
      </c>
      <c r="M86" s="370"/>
      <c r="N86" s="370"/>
      <c r="O86" s="370"/>
      <c r="P86" s="370"/>
      <c r="Q86" s="370"/>
      <c r="R86" s="370"/>
      <c r="S86" s="370"/>
      <c r="T86" s="370"/>
      <c r="U86" s="370"/>
      <c r="V86" s="370"/>
    </row>
    <row r="87" spans="1:22" x14ac:dyDescent="0.3">
      <c r="A87" s="370"/>
      <c r="B87" s="370" t="s">
        <v>268</v>
      </c>
      <c r="C87" s="375">
        <f>'Control Center'!G98</f>
        <v>0.22961999999999999</v>
      </c>
      <c r="D87" s="375">
        <f>'Control Center'!H98</f>
        <v>0.22961999999999999</v>
      </c>
      <c r="E87" s="375">
        <f>'Control Center'!I98</f>
        <v>0.22961999999999999</v>
      </c>
      <c r="F87" s="375">
        <f>'Control Center'!J98</f>
        <v>0.22961999999999999</v>
      </c>
      <c r="G87" s="375">
        <f>'Control Center'!K98</f>
        <v>0.22961999999999999</v>
      </c>
      <c r="H87" s="375">
        <f>'Control Center'!L98</f>
        <v>0.22961999999999999</v>
      </c>
      <c r="I87" s="375">
        <f>'Control Center'!M98</f>
        <v>0.22961999999999999</v>
      </c>
      <c r="J87" s="375">
        <f>'Control Center'!N98</f>
        <v>0.22961999999999999</v>
      </c>
      <c r="K87" s="375">
        <f>'Control Center'!O98</f>
        <v>0.22961999999999999</v>
      </c>
      <c r="L87" s="375">
        <f>'Control Center'!P98</f>
        <v>0.22961999999999999</v>
      </c>
      <c r="M87" s="370"/>
      <c r="N87" s="370"/>
      <c r="O87" s="370"/>
      <c r="P87" s="370"/>
      <c r="Q87" s="370"/>
      <c r="R87" s="370"/>
      <c r="S87" s="370"/>
      <c r="T87" s="370"/>
      <c r="U87" s="370"/>
      <c r="V87" s="370"/>
    </row>
    <row r="88" spans="1:22" x14ac:dyDescent="0.3">
      <c r="A88" s="370"/>
      <c r="B88" s="370" t="s">
        <v>269</v>
      </c>
      <c r="C88" s="375">
        <f>'Control Center'!G128</f>
        <v>0.28275600000000001</v>
      </c>
      <c r="D88" s="375">
        <f>'Control Center'!H128</f>
        <v>0.28275600000000001</v>
      </c>
      <c r="E88" s="375">
        <f>'Control Center'!I128</f>
        <v>0.28275600000000001</v>
      </c>
      <c r="F88" s="375">
        <f>'Control Center'!J128</f>
        <v>0.28275600000000001</v>
      </c>
      <c r="G88" s="375">
        <f>'Control Center'!K128</f>
        <v>0.28275600000000001</v>
      </c>
      <c r="H88" s="375">
        <f>'Control Center'!L128</f>
        <v>0.28275600000000001</v>
      </c>
      <c r="I88" s="375">
        <f>'Control Center'!M128</f>
        <v>0.28275600000000001</v>
      </c>
      <c r="J88" s="375">
        <f>'Control Center'!N128</f>
        <v>0.28275600000000001</v>
      </c>
      <c r="K88" s="375">
        <f>'Control Center'!O128</f>
        <v>0.28275600000000001</v>
      </c>
      <c r="L88" s="375">
        <f>'Control Center'!P128</f>
        <v>0.28275600000000001</v>
      </c>
      <c r="M88" s="370"/>
      <c r="N88" s="370"/>
      <c r="O88" s="370"/>
      <c r="P88" s="370"/>
      <c r="Q88" s="370"/>
      <c r="R88" s="370"/>
      <c r="S88" s="370"/>
      <c r="T88" s="370"/>
      <c r="U88" s="370"/>
      <c r="V88" s="370"/>
    </row>
    <row r="89" spans="1:22" x14ac:dyDescent="0.3">
      <c r="A89" s="370" t="s">
        <v>73</v>
      </c>
      <c r="B89" s="370"/>
      <c r="C89" s="375">
        <f>INDEX(C90:C92, MATCH('Control Center'!$E$25, 'Formula Audit'!$C$4:$C$6, 0))*C$8</f>
        <v>37</v>
      </c>
      <c r="D89" s="375">
        <f>INDEX(D90:D92, MATCH('Control Center'!$E$25, 'Formula Audit'!$C$4:$C$6, 0))*D$8</f>
        <v>37</v>
      </c>
      <c r="E89" s="375">
        <f>INDEX(E90:E92, MATCH('Control Center'!$E$25, 'Formula Audit'!$C$4:$C$6, 0))*E$8</f>
        <v>37</v>
      </c>
      <c r="F89" s="375">
        <f>INDEX(F90:F92, MATCH('Control Center'!$E$25, 'Formula Audit'!$C$4:$C$6, 0))*F$8</f>
        <v>37</v>
      </c>
      <c r="G89" s="375">
        <f>INDEX(G90:G92, MATCH('Control Center'!$E$25, 'Formula Audit'!$C$4:$C$6, 0))*G$8</f>
        <v>37</v>
      </c>
      <c r="H89" s="375">
        <f>INDEX(H90:H92, MATCH('Control Center'!$E$25, 'Formula Audit'!$C$4:$C$6, 0))*H$8</f>
        <v>32</v>
      </c>
      <c r="I89" s="375">
        <f>INDEX(I90:I92, MATCH('Control Center'!$E$25, 'Formula Audit'!$C$4:$C$6, 0))*I$8</f>
        <v>32</v>
      </c>
      <c r="J89" s="375">
        <f>INDEX(J90:J92, MATCH('Control Center'!$E$25, 'Formula Audit'!$C$4:$C$6, 0))*J$8</f>
        <v>32</v>
      </c>
      <c r="K89" s="375">
        <f>INDEX(K90:K92, MATCH('Control Center'!$E$25, 'Formula Audit'!$C$4:$C$6, 0))*K$8</f>
        <v>32</v>
      </c>
      <c r="L89" s="375">
        <f>INDEX(L90:L92, MATCH('Control Center'!$E$25, 'Formula Audit'!$C$4:$C$6, 0))*L$8</f>
        <v>32</v>
      </c>
      <c r="M89" s="370"/>
      <c r="N89" s="370"/>
      <c r="O89" s="370"/>
      <c r="P89" s="370"/>
      <c r="Q89" s="370"/>
      <c r="R89" s="370"/>
      <c r="S89" s="370"/>
      <c r="T89" s="370"/>
      <c r="U89" s="370"/>
      <c r="V89" s="370"/>
    </row>
    <row r="90" spans="1:22" x14ac:dyDescent="0.3">
      <c r="A90" s="370"/>
      <c r="B90" s="370" t="s">
        <v>51</v>
      </c>
      <c r="C90" s="375">
        <f>'Control Center'!G71</f>
        <v>37</v>
      </c>
      <c r="D90" s="375">
        <f>'Control Center'!H71</f>
        <v>37</v>
      </c>
      <c r="E90" s="375">
        <f>'Control Center'!I71</f>
        <v>37</v>
      </c>
      <c r="F90" s="375">
        <f>'Control Center'!J71</f>
        <v>37</v>
      </c>
      <c r="G90" s="375">
        <f>'Control Center'!K71</f>
        <v>37</v>
      </c>
      <c r="H90" s="375">
        <f>'Control Center'!L71</f>
        <v>32</v>
      </c>
      <c r="I90" s="375">
        <f>'Control Center'!M71</f>
        <v>32</v>
      </c>
      <c r="J90" s="375">
        <f>'Control Center'!N71</f>
        <v>32</v>
      </c>
      <c r="K90" s="375">
        <f>'Control Center'!O71</f>
        <v>32</v>
      </c>
      <c r="L90" s="375">
        <f>'Control Center'!P71</f>
        <v>32</v>
      </c>
      <c r="M90" s="370"/>
      <c r="N90" s="370"/>
      <c r="O90" s="370"/>
      <c r="P90" s="370"/>
      <c r="Q90" s="370"/>
      <c r="R90" s="370"/>
      <c r="S90" s="370"/>
      <c r="T90" s="370"/>
      <c r="U90" s="370"/>
      <c r="V90" s="370"/>
    </row>
    <row r="91" spans="1:22" x14ac:dyDescent="0.3">
      <c r="A91" s="370"/>
      <c r="B91" s="370" t="s">
        <v>268</v>
      </c>
      <c r="C91" s="375">
        <f>'Control Center'!G101</f>
        <v>45</v>
      </c>
      <c r="D91" s="375">
        <f>'Control Center'!H101</f>
        <v>45</v>
      </c>
      <c r="E91" s="375">
        <f>'Control Center'!I101</f>
        <v>45</v>
      </c>
      <c r="F91" s="375">
        <f>'Control Center'!J101</f>
        <v>45</v>
      </c>
      <c r="G91" s="375">
        <f>'Control Center'!K101</f>
        <v>45</v>
      </c>
      <c r="H91" s="375">
        <f>'Control Center'!L101</f>
        <v>40</v>
      </c>
      <c r="I91" s="375">
        <f>'Control Center'!M101</f>
        <v>40</v>
      </c>
      <c r="J91" s="375">
        <f>'Control Center'!N101</f>
        <v>40</v>
      </c>
      <c r="K91" s="375">
        <f>'Control Center'!O101</f>
        <v>40</v>
      </c>
      <c r="L91" s="375">
        <f>'Control Center'!P101</f>
        <v>40</v>
      </c>
      <c r="M91" s="370"/>
      <c r="N91" s="370"/>
      <c r="O91" s="370"/>
      <c r="P91" s="370"/>
      <c r="Q91" s="370"/>
      <c r="R91" s="370"/>
      <c r="S91" s="370"/>
      <c r="T91" s="370"/>
      <c r="U91" s="370"/>
      <c r="V91" s="370"/>
    </row>
    <row r="92" spans="1:22" x14ac:dyDescent="0.3">
      <c r="A92" s="370"/>
      <c r="B92" s="370" t="s">
        <v>269</v>
      </c>
      <c r="C92" s="375">
        <f>'Control Center'!G131</f>
        <v>55</v>
      </c>
      <c r="D92" s="375">
        <f>'Control Center'!H131</f>
        <v>55</v>
      </c>
      <c r="E92" s="375">
        <f>'Control Center'!I131</f>
        <v>55</v>
      </c>
      <c r="F92" s="375">
        <f>'Control Center'!J131</f>
        <v>55</v>
      </c>
      <c r="G92" s="375">
        <f>'Control Center'!K131</f>
        <v>55</v>
      </c>
      <c r="H92" s="375">
        <f>'Control Center'!L131</f>
        <v>61</v>
      </c>
      <c r="I92" s="375">
        <f>'Control Center'!M131</f>
        <v>61</v>
      </c>
      <c r="J92" s="375">
        <f>'Control Center'!N131</f>
        <v>61</v>
      </c>
      <c r="K92" s="375">
        <f>'Control Center'!O131</f>
        <v>61</v>
      </c>
      <c r="L92" s="375">
        <f>'Control Center'!P131</f>
        <v>61</v>
      </c>
      <c r="M92" s="370"/>
      <c r="N92" s="370"/>
      <c r="O92" s="370"/>
      <c r="P92" s="370"/>
      <c r="Q92" s="370"/>
      <c r="R92" s="370"/>
      <c r="S92" s="370"/>
      <c r="T92" s="370"/>
      <c r="U92" s="370"/>
      <c r="V92" s="370"/>
    </row>
    <row r="93" spans="1:22" x14ac:dyDescent="0.3">
      <c r="A93" s="370" t="s">
        <v>74</v>
      </c>
      <c r="B93" s="370"/>
      <c r="C93" s="375">
        <f>INDEX(C94:C96, MATCH('Control Center'!$E$25, 'Formula Audit'!$C$4:$C$6, 0))*C$8</f>
        <v>66</v>
      </c>
      <c r="D93" s="375">
        <f>INDEX(D94:D96, MATCH('Control Center'!$E$25, 'Formula Audit'!$C$4:$C$6, 0))*D$8</f>
        <v>66</v>
      </c>
      <c r="E93" s="375">
        <f>INDEX(E94:E96, MATCH('Control Center'!$E$25, 'Formula Audit'!$C$4:$C$6, 0))*E$8</f>
        <v>66</v>
      </c>
      <c r="F93" s="375">
        <f>INDEX(F94:F96, MATCH('Control Center'!$E$25, 'Formula Audit'!$C$4:$C$6, 0))*F$8</f>
        <v>71</v>
      </c>
      <c r="G93" s="375">
        <f>INDEX(G94:G96, MATCH('Control Center'!$E$25, 'Formula Audit'!$C$4:$C$6, 0))*G$8</f>
        <v>71</v>
      </c>
      <c r="H93" s="375">
        <f>INDEX(H94:H96, MATCH('Control Center'!$E$25, 'Formula Audit'!$C$4:$C$6, 0))*H$8</f>
        <v>71</v>
      </c>
      <c r="I93" s="375">
        <f>INDEX(I94:I96, MATCH('Control Center'!$E$25, 'Formula Audit'!$C$4:$C$6, 0))*I$8</f>
        <v>76</v>
      </c>
      <c r="J93" s="375">
        <f>INDEX(J94:J96, MATCH('Control Center'!$E$25, 'Formula Audit'!$C$4:$C$6, 0))*J$8</f>
        <v>76</v>
      </c>
      <c r="K93" s="375">
        <f>INDEX(K94:K96, MATCH('Control Center'!$E$25, 'Formula Audit'!$C$4:$C$6, 0))*K$8</f>
        <v>81</v>
      </c>
      <c r="L93" s="375">
        <f>INDEX(L94:L96, MATCH('Control Center'!$E$25, 'Formula Audit'!$C$4:$C$6, 0))*L$8</f>
        <v>81</v>
      </c>
      <c r="M93" s="370"/>
      <c r="N93" s="370"/>
      <c r="O93" s="370"/>
      <c r="P93" s="370"/>
      <c r="Q93" s="370"/>
      <c r="R93" s="370"/>
      <c r="S93" s="370"/>
      <c r="T93" s="370"/>
      <c r="U93" s="370"/>
      <c r="V93" s="370"/>
    </row>
    <row r="94" spans="1:22" x14ac:dyDescent="0.3">
      <c r="A94" s="370"/>
      <c r="B94" s="370" t="s">
        <v>51</v>
      </c>
      <c r="C94" s="375">
        <f>'Control Center'!G72</f>
        <v>66</v>
      </c>
      <c r="D94" s="375">
        <f>'Control Center'!H72</f>
        <v>66</v>
      </c>
      <c r="E94" s="375">
        <f>'Control Center'!I72</f>
        <v>66</v>
      </c>
      <c r="F94" s="375">
        <f>'Control Center'!J72</f>
        <v>71</v>
      </c>
      <c r="G94" s="375">
        <f>'Control Center'!K72</f>
        <v>71</v>
      </c>
      <c r="H94" s="375">
        <f>'Control Center'!L72</f>
        <v>71</v>
      </c>
      <c r="I94" s="375">
        <f>'Control Center'!M72</f>
        <v>76</v>
      </c>
      <c r="J94" s="375">
        <f>'Control Center'!N72</f>
        <v>76</v>
      </c>
      <c r="K94" s="375">
        <f>'Control Center'!O72</f>
        <v>81</v>
      </c>
      <c r="L94" s="375">
        <f>'Control Center'!P72</f>
        <v>81</v>
      </c>
      <c r="M94" s="370"/>
      <c r="N94" s="370"/>
      <c r="O94" s="370"/>
      <c r="P94" s="370"/>
      <c r="Q94" s="370"/>
      <c r="R94" s="370"/>
      <c r="S94" s="370"/>
      <c r="T94" s="370"/>
      <c r="U94" s="370"/>
      <c r="V94" s="370"/>
    </row>
    <row r="95" spans="1:22" x14ac:dyDescent="0.3">
      <c r="A95" s="370"/>
      <c r="B95" s="370" t="s">
        <v>268</v>
      </c>
      <c r="C95" s="375">
        <f>'Control Center'!G102</f>
        <v>63</v>
      </c>
      <c r="D95" s="375">
        <f>'Control Center'!H102</f>
        <v>63</v>
      </c>
      <c r="E95" s="375">
        <f>'Control Center'!I102</f>
        <v>63</v>
      </c>
      <c r="F95" s="375">
        <f>'Control Center'!J102</f>
        <v>68</v>
      </c>
      <c r="G95" s="375">
        <f>'Control Center'!K102</f>
        <v>68</v>
      </c>
      <c r="H95" s="375">
        <f>'Control Center'!L102</f>
        <v>68</v>
      </c>
      <c r="I95" s="375">
        <f>'Control Center'!M102</f>
        <v>73</v>
      </c>
      <c r="J95" s="375">
        <f>'Control Center'!N102</f>
        <v>73</v>
      </c>
      <c r="K95" s="375">
        <f>'Control Center'!O102</f>
        <v>78</v>
      </c>
      <c r="L95" s="375">
        <f>'Control Center'!P102</f>
        <v>78</v>
      </c>
      <c r="M95" s="370"/>
      <c r="N95" s="370"/>
      <c r="O95" s="370"/>
      <c r="P95" s="370"/>
      <c r="Q95" s="370"/>
      <c r="R95" s="370"/>
      <c r="S95" s="370"/>
      <c r="T95" s="370"/>
      <c r="U95" s="370"/>
      <c r="V95" s="370"/>
    </row>
    <row r="96" spans="1:22" x14ac:dyDescent="0.3">
      <c r="A96" s="370"/>
      <c r="B96" s="370" t="s">
        <v>269</v>
      </c>
      <c r="C96" s="375">
        <f>'Control Center'!G132</f>
        <v>82</v>
      </c>
      <c r="D96" s="375">
        <f>'Control Center'!H132</f>
        <v>82</v>
      </c>
      <c r="E96" s="375">
        <f>'Control Center'!I132</f>
        <v>87</v>
      </c>
      <c r="F96" s="375">
        <f>'Control Center'!J132</f>
        <v>92</v>
      </c>
      <c r="G96" s="375">
        <f>'Control Center'!K132</f>
        <v>92</v>
      </c>
      <c r="H96" s="375">
        <f>'Control Center'!L132</f>
        <v>97</v>
      </c>
      <c r="I96" s="375">
        <f>'Control Center'!M132</f>
        <v>100</v>
      </c>
      <c r="J96" s="375">
        <f>'Control Center'!N132</f>
        <v>100</v>
      </c>
      <c r="K96" s="375">
        <f>'Control Center'!O132</f>
        <v>107</v>
      </c>
      <c r="L96" s="375">
        <f>'Control Center'!P132</f>
        <v>112</v>
      </c>
      <c r="M96" s="370"/>
      <c r="N96" s="370"/>
      <c r="O96" s="370"/>
      <c r="P96" s="370"/>
      <c r="Q96" s="370"/>
      <c r="R96" s="370"/>
      <c r="S96" s="370"/>
      <c r="T96" s="370"/>
      <c r="U96" s="370"/>
      <c r="V96" s="370"/>
    </row>
    <row r="97" spans="1:22" x14ac:dyDescent="0.3">
      <c r="A97" s="370" t="s">
        <v>75</v>
      </c>
      <c r="B97" s="370"/>
      <c r="C97" s="375">
        <f>INDEX(C98:C100, MATCH('Control Center'!$E$25, 'Formula Audit'!$C$4:$C$6, 0))*C$8</f>
        <v>13917</v>
      </c>
      <c r="D97" s="375"/>
      <c r="E97" s="375"/>
      <c r="F97" s="375"/>
      <c r="G97" s="375"/>
      <c r="H97" s="375"/>
      <c r="I97" s="375"/>
      <c r="J97" s="375"/>
      <c r="K97" s="375"/>
      <c r="L97" s="375"/>
      <c r="M97" s="370"/>
      <c r="N97" s="370"/>
      <c r="O97" s="370"/>
      <c r="P97" s="370"/>
      <c r="Q97" s="370"/>
      <c r="R97" s="370"/>
      <c r="S97" s="370"/>
      <c r="T97" s="370"/>
      <c r="U97" s="370"/>
      <c r="V97" s="370"/>
    </row>
    <row r="98" spans="1:22" x14ac:dyDescent="0.3">
      <c r="A98" s="370"/>
      <c r="B98" s="370" t="s">
        <v>51</v>
      </c>
      <c r="C98" s="375">
        <f>'Control Center'!G73</f>
        <v>13917</v>
      </c>
      <c r="D98" s="375"/>
      <c r="E98" s="375"/>
      <c r="F98" s="375"/>
      <c r="G98" s="375"/>
      <c r="H98" s="375"/>
      <c r="I98" s="375"/>
      <c r="J98" s="375"/>
      <c r="K98" s="375"/>
      <c r="L98" s="375"/>
      <c r="M98" s="370"/>
      <c r="N98" s="370"/>
      <c r="O98" s="370"/>
      <c r="P98" s="370"/>
      <c r="Q98" s="370"/>
      <c r="R98" s="370"/>
      <c r="S98" s="370"/>
      <c r="T98" s="370"/>
      <c r="U98" s="370"/>
      <c r="V98" s="370"/>
    </row>
    <row r="99" spans="1:22" x14ac:dyDescent="0.3">
      <c r="A99" s="370"/>
      <c r="B99" s="370" t="s">
        <v>268</v>
      </c>
      <c r="C99" s="375">
        <f>'Control Center'!G103</f>
        <v>15666</v>
      </c>
      <c r="D99" s="375"/>
      <c r="E99" s="375"/>
      <c r="F99" s="375"/>
      <c r="G99" s="375"/>
      <c r="H99" s="375"/>
      <c r="I99" s="375"/>
      <c r="J99" s="375"/>
      <c r="K99" s="375"/>
      <c r="L99" s="375"/>
      <c r="M99" s="370"/>
      <c r="N99" s="370"/>
      <c r="O99" s="370"/>
      <c r="P99" s="370"/>
      <c r="Q99" s="370"/>
      <c r="R99" s="370"/>
      <c r="S99" s="370"/>
      <c r="T99" s="370"/>
      <c r="U99" s="370"/>
      <c r="V99" s="370"/>
    </row>
    <row r="100" spans="1:22" x14ac:dyDescent="0.3">
      <c r="A100" s="370"/>
      <c r="B100" s="370" t="s">
        <v>269</v>
      </c>
      <c r="C100" s="375">
        <f>'Control Center'!G133</f>
        <v>13646</v>
      </c>
      <c r="D100" s="375"/>
      <c r="E100" s="375"/>
      <c r="F100" s="375"/>
      <c r="G100" s="375"/>
      <c r="H100" s="375"/>
      <c r="I100" s="375"/>
      <c r="J100" s="375"/>
      <c r="K100" s="375"/>
      <c r="L100" s="375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</row>
    <row r="101" spans="1:22" x14ac:dyDescent="0.3">
      <c r="A101" s="370" t="s">
        <v>77</v>
      </c>
      <c r="B101" s="370"/>
      <c r="C101" s="375">
        <f>INDEX(C102:C104, MATCH('Control Center'!$E$25, 'Formula Audit'!$C$4:$C$6, 0))*C$8</f>
        <v>53</v>
      </c>
      <c r="D101" s="375">
        <f>INDEX(D102:D104, MATCH('Control Center'!$E$25, 'Formula Audit'!$C$4:$C$6, 0))*D$8</f>
        <v>53</v>
      </c>
      <c r="E101" s="375">
        <f>INDEX(E102:E104, MATCH('Control Center'!$E$25, 'Formula Audit'!$C$4:$C$6, 0))*E$8</f>
        <v>53</v>
      </c>
      <c r="F101" s="375">
        <f>INDEX(F102:F104, MATCH('Control Center'!$E$25, 'Formula Audit'!$C$4:$C$6, 0))*F$8</f>
        <v>53</v>
      </c>
      <c r="G101" s="375">
        <f>INDEX(G102:G104, MATCH('Control Center'!$E$25, 'Formula Audit'!$C$4:$C$6, 0))*G$8</f>
        <v>53</v>
      </c>
      <c r="H101" s="375">
        <f>INDEX(H102:H104, MATCH('Control Center'!$E$25, 'Formula Audit'!$C$4:$C$6, 0))*H$8</f>
        <v>48</v>
      </c>
      <c r="I101" s="375">
        <f>INDEX(I102:I104, MATCH('Control Center'!$E$25, 'Formula Audit'!$C$4:$C$6, 0))*I$8</f>
        <v>48</v>
      </c>
      <c r="J101" s="375">
        <f>INDEX(J102:J104, MATCH('Control Center'!$E$25, 'Formula Audit'!$C$4:$C$6, 0))*J$8</f>
        <v>48</v>
      </c>
      <c r="K101" s="375">
        <f>INDEX(K102:K104, MATCH('Control Center'!$E$25, 'Formula Audit'!$C$4:$C$6, 0))*K$8</f>
        <v>48</v>
      </c>
      <c r="L101" s="375">
        <f>INDEX(L102:L104, MATCH('Control Center'!$E$25, 'Formula Audit'!$C$4:$C$6, 0))*L$8</f>
        <v>48</v>
      </c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</row>
    <row r="102" spans="1:22" x14ac:dyDescent="0.3">
      <c r="A102" s="370"/>
      <c r="B102" s="370" t="s">
        <v>51</v>
      </c>
      <c r="C102" s="375">
        <f>'Control Center'!G74</f>
        <v>53</v>
      </c>
      <c r="D102" s="375">
        <f>'Control Center'!H74</f>
        <v>53</v>
      </c>
      <c r="E102" s="375">
        <f>'Control Center'!I74</f>
        <v>53</v>
      </c>
      <c r="F102" s="375">
        <f>'Control Center'!J74</f>
        <v>53</v>
      </c>
      <c r="G102" s="375">
        <f>'Control Center'!K74</f>
        <v>53</v>
      </c>
      <c r="H102" s="375">
        <f>'Control Center'!L74</f>
        <v>48</v>
      </c>
      <c r="I102" s="375">
        <f>'Control Center'!M74</f>
        <v>48</v>
      </c>
      <c r="J102" s="375">
        <f>'Control Center'!N74</f>
        <v>48</v>
      </c>
      <c r="K102" s="375">
        <f>'Control Center'!O74</f>
        <v>48</v>
      </c>
      <c r="L102" s="375">
        <f>'Control Center'!P74</f>
        <v>48</v>
      </c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</row>
    <row r="103" spans="1:22" x14ac:dyDescent="0.3">
      <c r="A103" s="370"/>
      <c r="B103" s="370" t="s">
        <v>268</v>
      </c>
      <c r="C103" s="375">
        <f>'Control Center'!G104</f>
        <v>56</v>
      </c>
      <c r="D103" s="375">
        <f>'Control Center'!H104</f>
        <v>56</v>
      </c>
      <c r="E103" s="375">
        <f>'Control Center'!I104</f>
        <v>56</v>
      </c>
      <c r="F103" s="375">
        <f>'Control Center'!J104</f>
        <v>56</v>
      </c>
      <c r="G103" s="375">
        <f>'Control Center'!K104</f>
        <v>56</v>
      </c>
      <c r="H103" s="375">
        <f>'Control Center'!L104</f>
        <v>50</v>
      </c>
      <c r="I103" s="375">
        <f>'Control Center'!M104</f>
        <v>50</v>
      </c>
      <c r="J103" s="375">
        <f>'Control Center'!N104</f>
        <v>50</v>
      </c>
      <c r="K103" s="375">
        <f>'Control Center'!O104</f>
        <v>50</v>
      </c>
      <c r="L103" s="375">
        <f>'Control Center'!P104</f>
        <v>50</v>
      </c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</row>
    <row r="104" spans="1:22" x14ac:dyDescent="0.3">
      <c r="A104" s="370"/>
      <c r="B104" s="370" t="s">
        <v>269</v>
      </c>
      <c r="C104" s="375">
        <f>'Control Center'!G134</f>
        <v>58</v>
      </c>
      <c r="D104" s="375">
        <f>'Control Center'!H134</f>
        <v>58</v>
      </c>
      <c r="E104" s="375">
        <f>'Control Center'!I134</f>
        <v>58</v>
      </c>
      <c r="F104" s="375">
        <f>'Control Center'!J134</f>
        <v>58</v>
      </c>
      <c r="G104" s="375">
        <f>'Control Center'!K134</f>
        <v>58</v>
      </c>
      <c r="H104" s="375">
        <f>'Control Center'!L134</f>
        <v>62</v>
      </c>
      <c r="I104" s="375">
        <f>'Control Center'!M134</f>
        <v>62</v>
      </c>
      <c r="J104" s="375">
        <f>'Control Center'!N134</f>
        <v>62</v>
      </c>
      <c r="K104" s="375">
        <f>'Control Center'!O134</f>
        <v>62</v>
      </c>
      <c r="L104" s="375">
        <f>'Control Center'!P134</f>
        <v>62</v>
      </c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</row>
    <row r="105" spans="1:22" x14ac:dyDescent="0.3">
      <c r="A105" s="370" t="s">
        <v>78</v>
      </c>
      <c r="B105" s="370"/>
      <c r="C105" s="375">
        <f>INDEX(C106:C108, MATCH('Control Center'!$E$25, 'Formula Audit'!$C$4:$C$6, 0))*C$8</f>
        <v>5.0562999999999997E-2</v>
      </c>
      <c r="D105" s="375">
        <f>INDEX(D106:D108, MATCH('Control Center'!$E$25, 'Formula Audit'!$C$4:$C$6, 0))*D$8</f>
        <v>5.0562999999999997E-2</v>
      </c>
      <c r="E105" s="375">
        <f>INDEX(E106:E108, MATCH('Control Center'!$E$25, 'Formula Audit'!$C$4:$C$6, 0))*E$8</f>
        <v>5.0562999999999997E-2</v>
      </c>
      <c r="F105" s="375">
        <f>INDEX(F106:F108, MATCH('Control Center'!$E$25, 'Formula Audit'!$C$4:$C$6, 0))*F$8</f>
        <v>5.0562999999999997E-2</v>
      </c>
      <c r="G105" s="375">
        <f>INDEX(G106:G108, MATCH('Control Center'!$E$25, 'Formula Audit'!$C$4:$C$6, 0))*G$8</f>
        <v>5.0562999999999997E-2</v>
      </c>
      <c r="H105" s="375">
        <f>INDEX(H106:H108, MATCH('Control Center'!$E$25, 'Formula Audit'!$C$4:$C$6, 0))*H$8</f>
        <v>5.0562999999999997E-2</v>
      </c>
      <c r="I105" s="375">
        <f>INDEX(I106:I108, MATCH('Control Center'!$E$25, 'Formula Audit'!$C$4:$C$6, 0))*I$8</f>
        <v>5.0562999999999997E-2</v>
      </c>
      <c r="J105" s="375">
        <f>INDEX(J106:J108, MATCH('Control Center'!$E$25, 'Formula Audit'!$C$4:$C$6, 0))*J$8</f>
        <v>5.0562999999999997E-2</v>
      </c>
      <c r="K105" s="375">
        <f>INDEX(K106:K108, MATCH('Control Center'!$E$25, 'Formula Audit'!$C$4:$C$6, 0))*K$8</f>
        <v>5.0562999999999997E-2</v>
      </c>
      <c r="L105" s="375">
        <f>INDEX(L106:L108, MATCH('Control Center'!$E$25, 'Formula Audit'!$C$4:$C$6, 0))*L$8</f>
        <v>5.0562999999999997E-2</v>
      </c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</row>
    <row r="106" spans="1:22" x14ac:dyDescent="0.3">
      <c r="A106" s="370"/>
      <c r="B106" s="370" t="s">
        <v>51</v>
      </c>
      <c r="C106" s="375">
        <f>'Control Center'!G75</f>
        <v>5.0562999999999997E-2</v>
      </c>
      <c r="D106" s="375">
        <f>'Control Center'!H75</f>
        <v>5.0562999999999997E-2</v>
      </c>
      <c r="E106" s="375">
        <f>'Control Center'!I75</f>
        <v>5.0562999999999997E-2</v>
      </c>
      <c r="F106" s="375">
        <f>'Control Center'!J75</f>
        <v>5.0562999999999997E-2</v>
      </c>
      <c r="G106" s="375">
        <f>'Control Center'!K75</f>
        <v>5.0562999999999997E-2</v>
      </c>
      <c r="H106" s="375">
        <f>'Control Center'!L75</f>
        <v>5.0562999999999997E-2</v>
      </c>
      <c r="I106" s="375">
        <f>'Control Center'!M75</f>
        <v>5.0562999999999997E-2</v>
      </c>
      <c r="J106" s="375">
        <f>'Control Center'!N75</f>
        <v>5.0562999999999997E-2</v>
      </c>
      <c r="K106" s="375">
        <f>'Control Center'!O75</f>
        <v>5.0562999999999997E-2</v>
      </c>
      <c r="L106" s="375">
        <f>'Control Center'!P75</f>
        <v>5.0562999999999997E-2</v>
      </c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</row>
    <row r="107" spans="1:22" x14ac:dyDescent="0.3">
      <c r="A107" s="370"/>
      <c r="B107" s="370" t="s">
        <v>268</v>
      </c>
      <c r="C107" s="375">
        <f>'Control Center'!G105</f>
        <v>3.9674000000000001E-2</v>
      </c>
      <c r="D107" s="375">
        <f>'Control Center'!H105</f>
        <v>3.9674000000000001E-2</v>
      </c>
      <c r="E107" s="375">
        <f>'Control Center'!I105</f>
        <v>3.9674000000000001E-2</v>
      </c>
      <c r="F107" s="375">
        <f>'Control Center'!J105</f>
        <v>3.9674000000000001E-2</v>
      </c>
      <c r="G107" s="375">
        <f>'Control Center'!K105</f>
        <v>3.9674000000000001E-2</v>
      </c>
      <c r="H107" s="375">
        <f>'Control Center'!L105</f>
        <v>3.9674000000000001E-2</v>
      </c>
      <c r="I107" s="375">
        <f>'Control Center'!M105</f>
        <v>3.9674000000000001E-2</v>
      </c>
      <c r="J107" s="375">
        <f>'Control Center'!N105</f>
        <v>3.9674000000000001E-2</v>
      </c>
      <c r="K107" s="375">
        <f>'Control Center'!O105</f>
        <v>3.9674000000000001E-2</v>
      </c>
      <c r="L107" s="375">
        <f>'Control Center'!P105</f>
        <v>3.9674000000000001E-2</v>
      </c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</row>
    <row r="108" spans="1:22" x14ac:dyDescent="0.3">
      <c r="A108" s="370"/>
      <c r="B108" s="370" t="s">
        <v>269</v>
      </c>
      <c r="C108" s="375">
        <f>'Control Center'!G135</f>
        <v>6.9742999999999999E-2</v>
      </c>
      <c r="D108" s="375">
        <f>'Control Center'!H135</f>
        <v>6.9742999999999999E-2</v>
      </c>
      <c r="E108" s="375">
        <f>'Control Center'!I135</f>
        <v>6.9742999999999999E-2</v>
      </c>
      <c r="F108" s="375">
        <f>'Control Center'!J135</f>
        <v>6.9742999999999999E-2</v>
      </c>
      <c r="G108" s="375">
        <f>'Control Center'!K135</f>
        <v>6.9742999999999999E-2</v>
      </c>
      <c r="H108" s="375">
        <f>'Control Center'!L135</f>
        <v>6.9742999999999999E-2</v>
      </c>
      <c r="I108" s="375">
        <f>'Control Center'!M135</f>
        <v>6.9742999999999999E-2</v>
      </c>
      <c r="J108" s="375">
        <f>'Control Center'!N135</f>
        <v>6.9742999999999999E-2</v>
      </c>
      <c r="K108" s="375">
        <f>'Control Center'!O135</f>
        <v>6.9742999999999999E-2</v>
      </c>
      <c r="L108" s="375">
        <f>'Control Center'!P135</f>
        <v>6.9742999999999999E-2</v>
      </c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</row>
    <row r="109" spans="1:22" x14ac:dyDescent="0.3">
      <c r="A109" s="370" t="s">
        <v>79</v>
      </c>
      <c r="B109" s="370"/>
      <c r="C109" s="375">
        <f>INDEX(C110:C112, MATCH('Control Center'!$E$25, 'Formula Audit'!$C$4:$C$6, 0))*C$8</f>
        <v>6975</v>
      </c>
      <c r="D109" s="375">
        <f>INDEX(D110:D112, MATCH('Control Center'!$E$25, 'Formula Audit'!$C$4:$C$6, 0))*D$8</f>
        <v>8719</v>
      </c>
      <c r="E109" s="375">
        <f>INDEX(E110:E112, MATCH('Control Center'!$E$25, 'Formula Audit'!$C$4:$C$6, 0))*E$8</f>
        <v>10463</v>
      </c>
      <c r="F109" s="375">
        <f>INDEX(F110:F112, MATCH('Control Center'!$E$25, 'Formula Audit'!$C$4:$C$6, 0))*F$8</f>
        <v>10463</v>
      </c>
      <c r="G109" s="375">
        <f>INDEX(G110:G112, MATCH('Control Center'!$E$25, 'Formula Audit'!$C$4:$C$6, 0))*G$8</f>
        <v>13078</v>
      </c>
      <c r="H109" s="375">
        <f>INDEX(H110:H112, MATCH('Control Center'!$E$25, 'Formula Audit'!$C$4:$C$6, 0))*H$8</f>
        <v>15694</v>
      </c>
      <c r="I109" s="375">
        <f>INDEX(I110:I112, MATCH('Control Center'!$E$25, 'Formula Audit'!$C$4:$C$6, 0))*I$8</f>
        <v>13078</v>
      </c>
      <c r="J109" s="375">
        <f>INDEX(J110:J112, MATCH('Control Center'!$E$25, 'Formula Audit'!$C$4:$C$6, 0))*J$8</f>
        <v>10463</v>
      </c>
      <c r="K109" s="375">
        <f>INDEX(K110:K112, MATCH('Control Center'!$E$25, 'Formula Audit'!$C$4:$C$6, 0))*K$8</f>
        <v>8719</v>
      </c>
      <c r="L109" s="375">
        <f>INDEX(L110:L112, MATCH('Control Center'!$E$25, 'Formula Audit'!$C$4:$C$6, 0))*L$8</f>
        <v>6975</v>
      </c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</row>
    <row r="110" spans="1:22" x14ac:dyDescent="0.3">
      <c r="A110" s="370"/>
      <c r="B110" s="370" t="s">
        <v>51</v>
      </c>
      <c r="C110" s="375">
        <f>'Control Center'!G76</f>
        <v>6975</v>
      </c>
      <c r="D110" s="375">
        <f>'Control Center'!H76</f>
        <v>8719</v>
      </c>
      <c r="E110" s="375">
        <f>'Control Center'!I76</f>
        <v>10463</v>
      </c>
      <c r="F110" s="375">
        <f>'Control Center'!J76</f>
        <v>10463</v>
      </c>
      <c r="G110" s="375">
        <f>'Control Center'!K76</f>
        <v>13078</v>
      </c>
      <c r="H110" s="375">
        <f>'Control Center'!L76</f>
        <v>15694</v>
      </c>
      <c r="I110" s="375">
        <f>'Control Center'!M76</f>
        <v>13078</v>
      </c>
      <c r="J110" s="375">
        <f>'Control Center'!N76</f>
        <v>10463</v>
      </c>
      <c r="K110" s="375">
        <f>'Control Center'!O76</f>
        <v>8719</v>
      </c>
      <c r="L110" s="375">
        <f>'Control Center'!P76</f>
        <v>6975</v>
      </c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</row>
    <row r="111" spans="1:22" x14ac:dyDescent="0.3">
      <c r="A111" s="370"/>
      <c r="B111" s="370" t="s">
        <v>268</v>
      </c>
      <c r="C111" s="375">
        <f>'Control Center'!G106</f>
        <v>13398</v>
      </c>
      <c r="D111" s="375">
        <f>'Control Center'!H106</f>
        <v>16747</v>
      </c>
      <c r="E111" s="375">
        <f>'Control Center'!I106</f>
        <v>22330</v>
      </c>
      <c r="F111" s="375">
        <f>'Control Center'!J106</f>
        <v>22330</v>
      </c>
      <c r="G111" s="375">
        <f>'Control Center'!K106</f>
        <v>27912</v>
      </c>
      <c r="H111" s="375">
        <f>'Control Center'!L106</f>
        <v>27912</v>
      </c>
      <c r="I111" s="375">
        <f>'Control Center'!M106</f>
        <v>22330</v>
      </c>
      <c r="J111" s="375">
        <f>'Control Center'!N106</f>
        <v>16747</v>
      </c>
      <c r="K111" s="375">
        <f>'Control Center'!O106</f>
        <v>11165</v>
      </c>
      <c r="L111" s="375">
        <f>'Control Center'!P106</f>
        <v>5582</v>
      </c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</row>
    <row r="112" spans="1:22" x14ac:dyDescent="0.3">
      <c r="A112" s="370"/>
      <c r="B112" s="370" t="s">
        <v>269</v>
      </c>
      <c r="C112" s="375">
        <f>'Control Center'!G136</f>
        <v>7658</v>
      </c>
      <c r="D112" s="375">
        <f>'Control Center'!H136</f>
        <v>7658</v>
      </c>
      <c r="E112" s="375">
        <f>'Control Center'!I136</f>
        <v>9573</v>
      </c>
      <c r="F112" s="375">
        <f>'Control Center'!J136</f>
        <v>9573</v>
      </c>
      <c r="G112" s="375">
        <f>'Control Center'!K136</f>
        <v>11487</v>
      </c>
      <c r="H112" s="375">
        <f>'Control Center'!L136</f>
        <v>9573</v>
      </c>
      <c r="I112" s="375">
        <f>'Control Center'!M136</f>
        <v>7658</v>
      </c>
      <c r="J112" s="375">
        <f>'Control Center'!N136</f>
        <v>4786</v>
      </c>
      <c r="K112" s="375">
        <f>'Control Center'!O136</f>
        <v>3829</v>
      </c>
      <c r="L112" s="375">
        <f>'Control Center'!P136</f>
        <v>1915</v>
      </c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</row>
    <row r="113" spans="1:22" x14ac:dyDescent="0.3">
      <c r="A113" s="370" t="s">
        <v>81</v>
      </c>
      <c r="B113" s="370"/>
      <c r="C113" s="375">
        <f>INDEX(C114:C116, MATCH('Control Center'!$E$25, 'Formula Audit'!$C$4:$C$6, 0))*C$8</f>
        <v>6.2939999999999996E-2</v>
      </c>
      <c r="D113" s="375">
        <f>INDEX(D114:D116, MATCH('Control Center'!$E$25, 'Formula Audit'!$C$4:$C$6, 0))*D$8</f>
        <v>6.2939999999999996E-2</v>
      </c>
      <c r="E113" s="375">
        <f>INDEX(E114:E116, MATCH('Control Center'!$E$25, 'Formula Audit'!$C$4:$C$6, 0))*E$8</f>
        <v>6.2939999999999996E-2</v>
      </c>
      <c r="F113" s="375">
        <f>INDEX(F114:F116, MATCH('Control Center'!$E$25, 'Formula Audit'!$C$4:$C$6, 0))*F$8</f>
        <v>6.2939999999999996E-2</v>
      </c>
      <c r="G113" s="375">
        <f>INDEX(G114:G116, MATCH('Control Center'!$E$25, 'Formula Audit'!$C$4:$C$6, 0))*G$8</f>
        <v>6.2939999999999996E-2</v>
      </c>
      <c r="H113" s="375">
        <f>INDEX(H114:H116, MATCH('Control Center'!$E$25, 'Formula Audit'!$C$4:$C$6, 0))*H$8</f>
        <v>6.2939999999999996E-2</v>
      </c>
      <c r="I113" s="375">
        <f>INDEX(I114:I116, MATCH('Control Center'!$E$25, 'Formula Audit'!$C$4:$C$6, 0))*I$8</f>
        <v>6.2939999999999996E-2</v>
      </c>
      <c r="J113" s="375">
        <f>INDEX(J114:J116, MATCH('Control Center'!$E$25, 'Formula Audit'!$C$4:$C$6, 0))*J$8</f>
        <v>6.2939999999999996E-2</v>
      </c>
      <c r="K113" s="375">
        <f>INDEX(K114:K116, MATCH('Control Center'!$E$25, 'Formula Audit'!$C$4:$C$6, 0))*K$8</f>
        <v>6.2939999999999996E-2</v>
      </c>
      <c r="L113" s="375">
        <f>INDEX(L114:L116, MATCH('Control Center'!$E$25, 'Formula Audit'!$C$4:$C$6, 0))*L$8</f>
        <v>6.2939999999999996E-2</v>
      </c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</row>
    <row r="114" spans="1:22" x14ac:dyDescent="0.3">
      <c r="A114" s="370"/>
      <c r="B114" s="370" t="s">
        <v>51</v>
      </c>
      <c r="C114" s="375">
        <f>'Control Center'!G79</f>
        <v>6.2939999999999996E-2</v>
      </c>
      <c r="D114" s="375">
        <f>'Control Center'!H79</f>
        <v>6.2939999999999996E-2</v>
      </c>
      <c r="E114" s="375">
        <f>'Control Center'!I79</f>
        <v>6.2939999999999996E-2</v>
      </c>
      <c r="F114" s="375">
        <f>'Control Center'!J79</f>
        <v>6.2939999999999996E-2</v>
      </c>
      <c r="G114" s="375">
        <f>'Control Center'!K79</f>
        <v>6.2939999999999996E-2</v>
      </c>
      <c r="H114" s="375">
        <f>'Control Center'!L79</f>
        <v>6.2939999999999996E-2</v>
      </c>
      <c r="I114" s="375">
        <f>'Control Center'!M79</f>
        <v>6.2939999999999996E-2</v>
      </c>
      <c r="J114" s="375">
        <f>'Control Center'!N79</f>
        <v>6.2939999999999996E-2</v>
      </c>
      <c r="K114" s="375">
        <f>'Control Center'!O79</f>
        <v>6.2939999999999996E-2</v>
      </c>
      <c r="L114" s="375">
        <f>'Control Center'!P79</f>
        <v>6.2939999999999996E-2</v>
      </c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</row>
    <row r="115" spans="1:22" x14ac:dyDescent="0.3">
      <c r="A115" s="370"/>
      <c r="B115" s="370" t="s">
        <v>268</v>
      </c>
      <c r="C115" s="375">
        <f>'Control Center'!G109</f>
        <v>4.6242999999999999E-2</v>
      </c>
      <c r="D115" s="375">
        <f>'Control Center'!H109</f>
        <v>4.6242999999999999E-2</v>
      </c>
      <c r="E115" s="375">
        <f>'Control Center'!I109</f>
        <v>4.6242999999999999E-2</v>
      </c>
      <c r="F115" s="375">
        <f>'Control Center'!J109</f>
        <v>4.6242999999999999E-2</v>
      </c>
      <c r="G115" s="375">
        <f>'Control Center'!K109</f>
        <v>4.6242999999999999E-2</v>
      </c>
      <c r="H115" s="375">
        <f>'Control Center'!L109</f>
        <v>4.6242999999999999E-2</v>
      </c>
      <c r="I115" s="375">
        <f>'Control Center'!M109</f>
        <v>4.6242999999999999E-2</v>
      </c>
      <c r="J115" s="375">
        <f>'Control Center'!N109</f>
        <v>4.6242999999999999E-2</v>
      </c>
      <c r="K115" s="375">
        <f>'Control Center'!O109</f>
        <v>4.6242999999999999E-2</v>
      </c>
      <c r="L115" s="375">
        <f>'Control Center'!P109</f>
        <v>4.6242999999999999E-2</v>
      </c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</row>
    <row r="116" spans="1:22" x14ac:dyDescent="0.3">
      <c r="A116" s="370"/>
      <c r="B116" s="370" t="s">
        <v>269</v>
      </c>
      <c r="C116" s="375">
        <f>'Control Center'!G139</f>
        <v>8.5320999999999994E-2</v>
      </c>
      <c r="D116" s="375">
        <f>'Control Center'!H139</f>
        <v>8.5320999999999994E-2</v>
      </c>
      <c r="E116" s="375">
        <f>'Control Center'!I139</f>
        <v>8.5320999999999994E-2</v>
      </c>
      <c r="F116" s="375">
        <f>'Control Center'!J139</f>
        <v>8.5320999999999994E-2</v>
      </c>
      <c r="G116" s="375">
        <f>'Control Center'!K139</f>
        <v>8.5320999999999994E-2</v>
      </c>
      <c r="H116" s="375">
        <f>'Control Center'!L139</f>
        <v>8.5320999999999994E-2</v>
      </c>
      <c r="I116" s="375">
        <f>'Control Center'!M139</f>
        <v>8.5320999999999994E-2</v>
      </c>
      <c r="J116" s="375">
        <f>'Control Center'!N139</f>
        <v>8.5320999999999994E-2</v>
      </c>
      <c r="K116" s="375">
        <f>'Control Center'!O139</f>
        <v>8.5320999999999994E-2</v>
      </c>
      <c r="L116" s="375">
        <f>'Control Center'!P139</f>
        <v>8.5320999999999994E-2</v>
      </c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</row>
    <row r="117" spans="1:22" x14ac:dyDescent="0.3">
      <c r="A117" s="370" t="s">
        <v>82</v>
      </c>
      <c r="B117" s="370"/>
      <c r="C117" s="375">
        <f>INDEX(C118:C120, MATCH('Control Center'!$E$25, 'Formula Audit'!$C$4:$C$6, 0))*C$8</f>
        <v>70860</v>
      </c>
      <c r="D117" s="375"/>
      <c r="E117" s="375"/>
      <c r="F117" s="375"/>
      <c r="G117" s="375"/>
      <c r="H117" s="375"/>
      <c r="I117" s="375"/>
      <c r="J117" s="375"/>
      <c r="K117" s="375"/>
      <c r="L117" s="375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</row>
    <row r="118" spans="1:22" x14ac:dyDescent="0.3">
      <c r="A118" s="370"/>
      <c r="B118" s="370" t="s">
        <v>51</v>
      </c>
      <c r="C118" s="375">
        <f>'Control Center'!G80</f>
        <v>70860</v>
      </c>
      <c r="D118" s="375"/>
      <c r="E118" s="375"/>
      <c r="F118" s="375"/>
      <c r="G118" s="375"/>
      <c r="H118" s="375"/>
      <c r="I118" s="375"/>
      <c r="J118" s="375"/>
      <c r="K118" s="375"/>
      <c r="L118" s="375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</row>
    <row r="119" spans="1:22" x14ac:dyDescent="0.3">
      <c r="A119" s="370"/>
      <c r="B119" s="370" t="s">
        <v>268</v>
      </c>
      <c r="C119" s="375">
        <f>'Control Center'!G110</f>
        <v>60220</v>
      </c>
      <c r="D119" s="375"/>
      <c r="E119" s="375"/>
      <c r="F119" s="375"/>
      <c r="G119" s="375"/>
      <c r="H119" s="375"/>
      <c r="I119" s="375"/>
      <c r="J119" s="375"/>
      <c r="K119" s="375"/>
      <c r="L119" s="375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</row>
    <row r="120" spans="1:22" x14ac:dyDescent="0.3">
      <c r="A120" s="370"/>
      <c r="B120" s="370" t="s">
        <v>269</v>
      </c>
      <c r="C120" s="375">
        <f>'Control Center'!G140</f>
        <v>74276</v>
      </c>
      <c r="D120" s="375"/>
      <c r="E120" s="375"/>
      <c r="F120" s="375"/>
      <c r="G120" s="375"/>
      <c r="H120" s="375"/>
      <c r="I120" s="375"/>
      <c r="J120" s="375"/>
      <c r="K120" s="375"/>
      <c r="L120" s="375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</row>
    <row r="121" spans="1:22" x14ac:dyDescent="0.3">
      <c r="A121" s="370" t="s">
        <v>84</v>
      </c>
      <c r="B121" s="370"/>
      <c r="C121" s="375">
        <f>INDEX(C122:C124, MATCH('Control Center'!$E$25, 'Formula Audit'!$C$4:$C$6, 0))*C$8</f>
        <v>92803</v>
      </c>
      <c r="D121" s="375">
        <f>INDEX(D122:D124, MATCH('Control Center'!$E$25, 'Formula Audit'!$C$4:$C$6, 0))*D$8</f>
        <v>92803</v>
      </c>
      <c r="E121" s="375">
        <f>INDEX(E122:E124, MATCH('Control Center'!$E$25, 'Formula Audit'!$C$4:$C$6, 0))*E$8</f>
        <v>92803</v>
      </c>
      <c r="F121" s="375">
        <f>INDEX(F122:F124, MATCH('Control Center'!$E$25, 'Formula Audit'!$C$4:$C$6, 0))*F$8</f>
        <v>92803</v>
      </c>
      <c r="G121" s="375">
        <f>INDEX(G122:G124, MATCH('Control Center'!$E$25, 'Formula Audit'!$C$4:$C$6, 0))*G$8</f>
        <v>92803</v>
      </c>
      <c r="H121" s="375">
        <f>INDEX(H122:H124, MATCH('Control Center'!$E$25, 'Formula Audit'!$C$4:$C$6, 0))*H$8</f>
        <v>92803</v>
      </c>
      <c r="I121" s="375">
        <f>INDEX(I122:I124, MATCH('Control Center'!$E$25, 'Formula Audit'!$C$4:$C$6, 0))*I$8</f>
        <v>92803</v>
      </c>
      <c r="J121" s="375">
        <f>INDEX(J122:J124, MATCH('Control Center'!$E$25, 'Formula Audit'!$C$4:$C$6, 0))*J$8</f>
        <v>92803</v>
      </c>
      <c r="K121" s="375">
        <f>INDEX(K122:K124, MATCH('Control Center'!$E$25, 'Formula Audit'!$C$4:$C$6, 0))*K$8</f>
        <v>92803</v>
      </c>
      <c r="L121" s="375">
        <f>INDEX(L122:L124, MATCH('Control Center'!$E$25, 'Formula Audit'!$C$4:$C$6, 0))*L$8</f>
        <v>92803</v>
      </c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</row>
    <row r="122" spans="1:22" x14ac:dyDescent="0.3">
      <c r="A122" s="370"/>
      <c r="B122" s="370" t="s">
        <v>51</v>
      </c>
      <c r="C122" s="375">
        <f>'Control Center'!G81</f>
        <v>92803</v>
      </c>
      <c r="D122" s="375">
        <f>'Control Center'!H81</f>
        <v>92803</v>
      </c>
      <c r="E122" s="375">
        <f>'Control Center'!I81</f>
        <v>92803</v>
      </c>
      <c r="F122" s="375">
        <f>'Control Center'!J81</f>
        <v>92803</v>
      </c>
      <c r="G122" s="375">
        <f>'Control Center'!K81</f>
        <v>92803</v>
      </c>
      <c r="H122" s="375">
        <f>'Control Center'!L81</f>
        <v>92803</v>
      </c>
      <c r="I122" s="375">
        <f>'Control Center'!M81</f>
        <v>92803</v>
      </c>
      <c r="J122" s="375">
        <f>'Control Center'!N81</f>
        <v>92803</v>
      </c>
      <c r="K122" s="375">
        <f>'Control Center'!O81</f>
        <v>92803</v>
      </c>
      <c r="L122" s="375">
        <f>'Control Center'!P81</f>
        <v>92803</v>
      </c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</row>
    <row r="123" spans="1:22" x14ac:dyDescent="0.3">
      <c r="A123" s="370"/>
      <c r="B123" s="370" t="s">
        <v>268</v>
      </c>
      <c r="C123" s="375">
        <f>'Control Center'!G111</f>
        <v>126895</v>
      </c>
      <c r="D123" s="375">
        <f>'Control Center'!H111</f>
        <v>126895</v>
      </c>
      <c r="E123" s="375">
        <f>'Control Center'!I111</f>
        <v>126895</v>
      </c>
      <c r="F123" s="375">
        <f>'Control Center'!J111</f>
        <v>126895</v>
      </c>
      <c r="G123" s="375">
        <f>'Control Center'!K111</f>
        <v>126895</v>
      </c>
      <c r="H123" s="375">
        <f>'Control Center'!L111</f>
        <v>126895</v>
      </c>
      <c r="I123" s="375">
        <f>'Control Center'!M111</f>
        <v>126895</v>
      </c>
      <c r="J123" s="375">
        <f>'Control Center'!N111</f>
        <v>126895</v>
      </c>
      <c r="K123" s="375">
        <f>'Control Center'!O111</f>
        <v>126895</v>
      </c>
      <c r="L123" s="375">
        <f>'Control Center'!P111</f>
        <v>126895</v>
      </c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</row>
    <row r="124" spans="1:22" x14ac:dyDescent="0.3">
      <c r="A124" s="370"/>
      <c r="B124" s="370" t="s">
        <v>269</v>
      </c>
      <c r="C124" s="375">
        <f>'Control Center'!G141</f>
        <v>73141</v>
      </c>
      <c r="D124" s="375">
        <f>'Control Center'!H141</f>
        <v>73141</v>
      </c>
      <c r="E124" s="375">
        <f>'Control Center'!I141</f>
        <v>73141</v>
      </c>
      <c r="F124" s="375">
        <f>'Control Center'!J141</f>
        <v>73141</v>
      </c>
      <c r="G124" s="375">
        <f>'Control Center'!K141</f>
        <v>73141</v>
      </c>
      <c r="H124" s="375">
        <f>'Control Center'!L141</f>
        <v>73141</v>
      </c>
      <c r="I124" s="375">
        <f>'Control Center'!M141</f>
        <v>73141</v>
      </c>
      <c r="J124" s="375">
        <f>'Control Center'!N141</f>
        <v>73141</v>
      </c>
      <c r="K124" s="375">
        <f>'Control Center'!O141</f>
        <v>7314</v>
      </c>
      <c r="L124" s="375">
        <f>'Control Center'!P141</f>
        <v>73141</v>
      </c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</row>
    <row r="125" spans="1:22" x14ac:dyDescent="0.3">
      <c r="A125" s="370" t="s">
        <v>85</v>
      </c>
      <c r="B125" s="370"/>
      <c r="C125" s="375">
        <f>INDEX(C126:C128, MATCH('Control Center'!$E$25, 'Formula Audit'!$C$4:$C$6, 0))*C$8</f>
        <v>-5497</v>
      </c>
      <c r="D125" s="375">
        <f>INDEX(D126:D128, MATCH('Control Center'!$E$25, 'Formula Audit'!$C$4:$C$6, 0))*D$8</f>
        <v>-5497</v>
      </c>
      <c r="E125" s="375">
        <f>INDEX(E126:E128, MATCH('Control Center'!$E$25, 'Formula Audit'!$C$4:$C$6, 0))*E$8</f>
        <v>-5497</v>
      </c>
      <c r="F125" s="375">
        <f>INDEX(F126:F128, MATCH('Control Center'!$E$25, 'Formula Audit'!$C$4:$C$6, 0))*F$8</f>
        <v>-5497</v>
      </c>
      <c r="G125" s="375">
        <f>INDEX(G126:G128, MATCH('Control Center'!$E$25, 'Formula Audit'!$C$4:$C$6, 0))*G$8</f>
        <v>-5497</v>
      </c>
      <c r="H125" s="375">
        <f>INDEX(H126:H128, MATCH('Control Center'!$E$25, 'Formula Audit'!$C$4:$C$6, 0))*H$8</f>
        <v>-5497</v>
      </c>
      <c r="I125" s="375">
        <f>INDEX(I126:I128, MATCH('Control Center'!$E$25, 'Formula Audit'!$C$4:$C$6, 0))*I$8</f>
        <v>-5497</v>
      </c>
      <c r="J125" s="375">
        <f>INDEX(J126:J128, MATCH('Control Center'!$E$25, 'Formula Audit'!$C$4:$C$6, 0))*J$8</f>
        <v>-5497</v>
      </c>
      <c r="K125" s="375">
        <f>INDEX(K126:K128, MATCH('Control Center'!$E$25, 'Formula Audit'!$C$4:$C$6, 0))*K$8</f>
        <v>-5497</v>
      </c>
      <c r="L125" s="375">
        <f>INDEX(L126:L128, MATCH('Control Center'!$E$25, 'Formula Audit'!$C$4:$C$6, 0))*L$8</f>
        <v>-5497</v>
      </c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</row>
    <row r="126" spans="1:22" x14ac:dyDescent="0.3">
      <c r="A126" s="370"/>
      <c r="B126" s="370" t="s">
        <v>51</v>
      </c>
      <c r="C126" s="375">
        <f>'Control Center'!G82</f>
        <v>-5497</v>
      </c>
      <c r="D126" s="375">
        <f>'Control Center'!H82</f>
        <v>-5497</v>
      </c>
      <c r="E126" s="375">
        <f>'Control Center'!I82</f>
        <v>-5497</v>
      </c>
      <c r="F126" s="375">
        <f>'Control Center'!J82</f>
        <v>-5497</v>
      </c>
      <c r="G126" s="375">
        <f>'Control Center'!K82</f>
        <v>-5497</v>
      </c>
      <c r="H126" s="375">
        <f>'Control Center'!L82</f>
        <v>-5497</v>
      </c>
      <c r="I126" s="375">
        <f>'Control Center'!M82</f>
        <v>-5497</v>
      </c>
      <c r="J126" s="375">
        <f>'Control Center'!N82</f>
        <v>-5497</v>
      </c>
      <c r="K126" s="375">
        <f>'Control Center'!O82</f>
        <v>-5497</v>
      </c>
      <c r="L126" s="375">
        <f>'Control Center'!P82</f>
        <v>-5497</v>
      </c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</row>
    <row r="127" spans="1:22" x14ac:dyDescent="0.3">
      <c r="A127" s="370"/>
      <c r="B127" s="370" t="s">
        <v>268</v>
      </c>
      <c r="C127" s="375">
        <f>'Control Center'!G112</f>
        <v>-5589</v>
      </c>
      <c r="D127" s="375">
        <f>'Control Center'!H112</f>
        <v>-5589</v>
      </c>
      <c r="E127" s="375">
        <f>'Control Center'!I112</f>
        <v>-5589</v>
      </c>
      <c r="F127" s="375">
        <f>'Control Center'!J112</f>
        <v>-5589</v>
      </c>
      <c r="G127" s="375">
        <f>'Control Center'!K112</f>
        <v>-5589</v>
      </c>
      <c r="H127" s="375">
        <f>'Control Center'!L112</f>
        <v>-5589</v>
      </c>
      <c r="I127" s="375">
        <f>'Control Center'!M112</f>
        <v>-5589</v>
      </c>
      <c r="J127" s="375">
        <f>'Control Center'!N112</f>
        <v>-5589</v>
      </c>
      <c r="K127" s="375">
        <f>'Control Center'!O112</f>
        <v>-5589</v>
      </c>
      <c r="L127" s="375">
        <f>'Control Center'!P112</f>
        <v>-5589</v>
      </c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</row>
    <row r="128" spans="1:22" x14ac:dyDescent="0.3">
      <c r="A128" s="370"/>
      <c r="B128" s="370" t="s">
        <v>269</v>
      </c>
      <c r="C128" s="375">
        <f>'Control Center'!G142</f>
        <v>-3044</v>
      </c>
      <c r="D128" s="375">
        <f>'Control Center'!H142</f>
        <v>-3044</v>
      </c>
      <c r="E128" s="375">
        <f>'Control Center'!I142</f>
        <v>-3044</v>
      </c>
      <c r="F128" s="375">
        <f>'Control Center'!J142</f>
        <v>-3044</v>
      </c>
      <c r="G128" s="375">
        <f>'Control Center'!K142</f>
        <v>-3044</v>
      </c>
      <c r="H128" s="375">
        <f>'Control Center'!L142</f>
        <v>-3044</v>
      </c>
      <c r="I128" s="375">
        <f>'Control Center'!M142</f>
        <v>-3044</v>
      </c>
      <c r="J128" s="375">
        <f>'Control Center'!N142</f>
        <v>-3044</v>
      </c>
      <c r="K128" s="375">
        <f>'Control Center'!O142</f>
        <v>-3044</v>
      </c>
      <c r="L128" s="375">
        <f>'Control Center'!P142</f>
        <v>-3044</v>
      </c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</row>
    <row r="129" spans="1:22" x14ac:dyDescent="0.3">
      <c r="A129" s="370" t="s">
        <v>86</v>
      </c>
      <c r="B129" s="370"/>
      <c r="C129" s="367">
        <f>INDEX(C130:C132, MATCH('Control Center'!$E$25, 'Formula Audit'!$C$4:$C$6, 0))*C$8</f>
        <v>0</v>
      </c>
      <c r="D129" s="367">
        <f>INDEX(D130:D132, MATCH('Control Center'!$E$25, 'Formula Audit'!$C$4:$C$6, 0))*D$8</f>
        <v>0</v>
      </c>
      <c r="E129" s="367">
        <f>INDEX(E130:E132, MATCH('Control Center'!$E$25, 'Formula Audit'!$C$4:$C$6, 0))*E$8</f>
        <v>0</v>
      </c>
      <c r="F129" s="367">
        <f>INDEX(F130:F132, MATCH('Control Center'!$E$25, 'Formula Audit'!$C$4:$C$6, 0))*F$8</f>
        <v>0</v>
      </c>
      <c r="G129" s="367">
        <f>INDEX(G130:G132, MATCH('Control Center'!$E$25, 'Formula Audit'!$C$4:$C$6, 0))*G$8</f>
        <v>0</v>
      </c>
      <c r="H129" s="367">
        <f>INDEX(H130:H132, MATCH('Control Center'!$E$25, 'Formula Audit'!$C$4:$C$6, 0))*H$8</f>
        <v>0</v>
      </c>
      <c r="I129" s="367">
        <f>INDEX(I130:I132, MATCH('Control Center'!$E$25, 'Formula Audit'!$C$4:$C$6, 0))*I$8</f>
        <v>0</v>
      </c>
      <c r="J129" s="367">
        <f>INDEX(J130:J132, MATCH('Control Center'!$E$25, 'Formula Audit'!$C$4:$C$6, 0))*J$8</f>
        <v>0</v>
      </c>
      <c r="K129" s="367">
        <f>INDEX(K130:K132, MATCH('Control Center'!$E$25, 'Formula Audit'!$C$4:$C$6, 0))*K$8</f>
        <v>0</v>
      </c>
      <c r="L129" s="367">
        <f>INDEX(L130:L132, MATCH('Control Center'!$E$25, 'Formula Audit'!$C$4:$C$6, 0))*L$8</f>
        <v>0</v>
      </c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</row>
    <row r="130" spans="1:22" x14ac:dyDescent="0.3">
      <c r="A130" s="370"/>
      <c r="B130" s="370" t="s">
        <v>51</v>
      </c>
      <c r="C130" s="367">
        <f>'Control Center'!G83</f>
        <v>0</v>
      </c>
      <c r="D130" s="367">
        <f>'Control Center'!H83</f>
        <v>0</v>
      </c>
      <c r="E130" s="367">
        <f>'Control Center'!I83</f>
        <v>0</v>
      </c>
      <c r="F130" s="367">
        <f>'Control Center'!J83</f>
        <v>0</v>
      </c>
      <c r="G130" s="367">
        <f>'Control Center'!K83</f>
        <v>0</v>
      </c>
      <c r="H130" s="367">
        <f>'Control Center'!L83</f>
        <v>0</v>
      </c>
      <c r="I130" s="367">
        <f>'Control Center'!M83</f>
        <v>0</v>
      </c>
      <c r="J130" s="367">
        <f>'Control Center'!N83</f>
        <v>0</v>
      </c>
      <c r="K130" s="367">
        <f>'Control Center'!O83</f>
        <v>0</v>
      </c>
      <c r="L130" s="367">
        <f>'Control Center'!P83</f>
        <v>0</v>
      </c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</row>
    <row r="131" spans="1:22" x14ac:dyDescent="0.3">
      <c r="A131" s="370"/>
      <c r="B131" s="370" t="s">
        <v>268</v>
      </c>
      <c r="C131" s="367">
        <f>'Control Center'!G113</f>
        <v>0</v>
      </c>
      <c r="D131" s="367">
        <f>'Control Center'!H113</f>
        <v>0</v>
      </c>
      <c r="E131" s="367">
        <f>'Control Center'!I113</f>
        <v>0</v>
      </c>
      <c r="F131" s="367">
        <f>'Control Center'!J113</f>
        <v>0</v>
      </c>
      <c r="G131" s="367">
        <f>'Control Center'!K113</f>
        <v>0</v>
      </c>
      <c r="H131" s="367">
        <f>'Control Center'!L113</f>
        <v>0</v>
      </c>
      <c r="I131" s="367">
        <f>'Control Center'!M113</f>
        <v>0</v>
      </c>
      <c r="J131" s="367">
        <f>'Control Center'!N113</f>
        <v>0</v>
      </c>
      <c r="K131" s="367">
        <f>'Control Center'!O113</f>
        <v>0</v>
      </c>
      <c r="L131" s="367">
        <f>'Control Center'!P113</f>
        <v>0</v>
      </c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</row>
    <row r="132" spans="1:22" x14ac:dyDescent="0.3">
      <c r="A132" s="370"/>
      <c r="B132" s="370" t="s">
        <v>269</v>
      </c>
      <c r="C132" s="367">
        <f>'Control Center'!G143</f>
        <v>0</v>
      </c>
      <c r="D132" s="367">
        <f>'Control Center'!H143</f>
        <v>0</v>
      </c>
      <c r="E132" s="367">
        <f>'Control Center'!I143</f>
        <v>0</v>
      </c>
      <c r="F132" s="367">
        <f>'Control Center'!J143</f>
        <v>0</v>
      </c>
      <c r="G132" s="367">
        <f>'Control Center'!K143</f>
        <v>0</v>
      </c>
      <c r="H132" s="367">
        <f>'Control Center'!L143</f>
        <v>0</v>
      </c>
      <c r="I132" s="367">
        <f>'Control Center'!M143</f>
        <v>0</v>
      </c>
      <c r="J132" s="367">
        <f>'Control Center'!N143</f>
        <v>0</v>
      </c>
      <c r="K132" s="367">
        <f>'Control Center'!O143</f>
        <v>0</v>
      </c>
      <c r="L132" s="367">
        <f>'Control Center'!P143</f>
        <v>0</v>
      </c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</row>
    <row r="133" spans="1:22" x14ac:dyDescent="0.3">
      <c r="A133" s="370" t="s">
        <v>87</v>
      </c>
      <c r="B133" s="370"/>
      <c r="C133" s="367">
        <f>INDEX(C134:C136, MATCH('Control Center'!$E$25, 'Formula Audit'!$C$4:$C$6, 0))*C$8</f>
        <v>0.149393</v>
      </c>
      <c r="D133" s="367">
        <f>INDEX(D134:D136, MATCH('Control Center'!$E$25, 'Formula Audit'!$C$4:$C$6, 0))*D$8</f>
        <v>0.149393</v>
      </c>
      <c r="E133" s="367">
        <f>INDEX(E134:E136, MATCH('Control Center'!$E$25, 'Formula Audit'!$C$4:$C$6, 0))*E$8</f>
        <v>0.149393</v>
      </c>
      <c r="F133" s="367">
        <f>INDEX(F134:F136, MATCH('Control Center'!$E$25, 'Formula Audit'!$C$4:$C$6, 0))*F$8</f>
        <v>0.149393</v>
      </c>
      <c r="G133" s="367">
        <f>INDEX(G134:G136, MATCH('Control Center'!$E$25, 'Formula Audit'!$C$4:$C$6, 0))*G$8</f>
        <v>0.149393</v>
      </c>
      <c r="H133" s="367">
        <f>INDEX(H134:H136, MATCH('Control Center'!$E$25, 'Formula Audit'!$C$4:$C$6, 0))*H$8</f>
        <v>0.149393</v>
      </c>
      <c r="I133" s="367">
        <f>INDEX(I134:I136, MATCH('Control Center'!$E$25, 'Formula Audit'!$C$4:$C$6, 0))*I$8</f>
        <v>0.149393</v>
      </c>
      <c r="J133" s="367">
        <f>INDEX(J134:J136, MATCH('Control Center'!$E$25, 'Formula Audit'!$C$4:$C$6, 0))*J$8</f>
        <v>0.149393</v>
      </c>
      <c r="K133" s="367">
        <f>INDEX(K134:K136, MATCH('Control Center'!$E$25, 'Formula Audit'!$C$4:$C$6, 0))*K$8</f>
        <v>0.149393</v>
      </c>
      <c r="L133" s="367">
        <f>INDEX(L134:L136, MATCH('Control Center'!$E$25, 'Formula Audit'!$C$4:$C$6, 0))*L$8</f>
        <v>0.149393</v>
      </c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</row>
    <row r="134" spans="1:22" x14ac:dyDescent="0.3">
      <c r="A134" s="370"/>
      <c r="B134" s="370" t="s">
        <v>51</v>
      </c>
      <c r="C134" s="375">
        <f>'Control Center'!G84</f>
        <v>0.149393</v>
      </c>
      <c r="D134" s="375">
        <f>'Control Center'!H84</f>
        <v>0.149393</v>
      </c>
      <c r="E134" s="375">
        <f>'Control Center'!I84</f>
        <v>0.149393</v>
      </c>
      <c r="F134" s="375">
        <f>'Control Center'!J84</f>
        <v>0.149393</v>
      </c>
      <c r="G134" s="375">
        <f>'Control Center'!K84</f>
        <v>0.149393</v>
      </c>
      <c r="H134" s="375">
        <f>'Control Center'!L84</f>
        <v>0.149393</v>
      </c>
      <c r="I134" s="375">
        <f>'Control Center'!M84</f>
        <v>0.149393</v>
      </c>
      <c r="J134" s="375">
        <f>'Control Center'!N84</f>
        <v>0.149393</v>
      </c>
      <c r="K134" s="375">
        <f>'Control Center'!O84</f>
        <v>0.149393</v>
      </c>
      <c r="L134" s="375">
        <f>'Control Center'!P84</f>
        <v>0.149393</v>
      </c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</row>
    <row r="135" spans="1:22" x14ac:dyDescent="0.3">
      <c r="A135" s="370"/>
      <c r="B135" s="370" t="s">
        <v>268</v>
      </c>
      <c r="C135" s="375">
        <f>'Control Center'!G114</f>
        <v>0.12767899999999999</v>
      </c>
      <c r="D135" s="375">
        <f>'Control Center'!H114</f>
        <v>0.12767899999999999</v>
      </c>
      <c r="E135" s="375">
        <f>'Control Center'!I114</f>
        <v>0.12767899999999999</v>
      </c>
      <c r="F135" s="375">
        <f>'Control Center'!J114</f>
        <v>0.12767899999999999</v>
      </c>
      <c r="G135" s="375">
        <f>'Control Center'!K114</f>
        <v>0.12767899999999999</v>
      </c>
      <c r="H135" s="375">
        <f>'Control Center'!L114</f>
        <v>0.12767899999999999</v>
      </c>
      <c r="I135" s="375">
        <f>'Control Center'!M114</f>
        <v>0.12767899999999999</v>
      </c>
      <c r="J135" s="375">
        <f>'Control Center'!N114</f>
        <v>0.12767899999999999</v>
      </c>
      <c r="K135" s="375">
        <f>'Control Center'!O114</f>
        <v>0.12767899999999999</v>
      </c>
      <c r="L135" s="375">
        <f>'Control Center'!P114</f>
        <v>0.12767899999999999</v>
      </c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</row>
    <row r="136" spans="1:22" x14ac:dyDescent="0.3">
      <c r="A136" s="370"/>
      <c r="B136" s="370" t="s">
        <v>269</v>
      </c>
      <c r="C136" s="375">
        <f>'Control Center'!G144</f>
        <v>5.5656999999999998E-2</v>
      </c>
      <c r="D136" s="375">
        <f>'Control Center'!H144</f>
        <v>5.5656999999999998E-2</v>
      </c>
      <c r="E136" s="375">
        <f>'Control Center'!I144</f>
        <v>5.5656999999999998E-2</v>
      </c>
      <c r="F136" s="375">
        <f>'Control Center'!J144</f>
        <v>5.5656999999999998E-2</v>
      </c>
      <c r="G136" s="375">
        <f>'Control Center'!K144</f>
        <v>5.5656999999999998E-2</v>
      </c>
      <c r="H136" s="375">
        <f>'Control Center'!L144</f>
        <v>5.5656999999999998E-2</v>
      </c>
      <c r="I136" s="375">
        <f>'Control Center'!M144</f>
        <v>5.5656999999999998E-2</v>
      </c>
      <c r="J136" s="375">
        <f>'Control Center'!N144</f>
        <v>5.5656999999999998E-2</v>
      </c>
      <c r="K136" s="375">
        <f>'Control Center'!O144</f>
        <v>5.5656999999999998E-2</v>
      </c>
      <c r="L136" s="375">
        <f>'Control Center'!P144</f>
        <v>5.5656999999999998E-2</v>
      </c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</row>
    <row r="137" spans="1:22" x14ac:dyDescent="0.3">
      <c r="A137" s="370"/>
      <c r="B137" s="370"/>
      <c r="C137" s="370"/>
      <c r="D137" s="370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</row>
    <row r="138" spans="1:22" x14ac:dyDescent="0.3">
      <c r="A138" s="370" t="s">
        <v>279</v>
      </c>
      <c r="B138" s="370"/>
      <c r="C138" s="371" t="str">
        <f>'Control Center'!$F$8-1&amp;" (Prior)"</f>
        <v>2024 (Prior)</v>
      </c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</row>
    <row r="139" spans="1:22" x14ac:dyDescent="0.3">
      <c r="A139" s="370" t="s">
        <v>183</v>
      </c>
      <c r="B139" s="370"/>
      <c r="C139" s="370" t="s">
        <v>280</v>
      </c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</row>
    <row r="140" spans="1:22" x14ac:dyDescent="0.3">
      <c r="A140" s="370"/>
      <c r="B140" s="370"/>
      <c r="C140" s="370" t="s">
        <v>281</v>
      </c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</row>
    <row r="141" spans="1:22" x14ac:dyDescent="0.3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</row>
    <row r="142" spans="1:22" x14ac:dyDescent="0.3">
      <c r="A142" s="370" t="s">
        <v>282</v>
      </c>
      <c r="B142" s="370"/>
      <c r="C142" s="370"/>
      <c r="D142" s="370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</row>
    <row r="143" spans="1:22" x14ac:dyDescent="0.3">
      <c r="A143" s="370" t="s">
        <v>184</v>
      </c>
      <c r="B143" s="370"/>
      <c r="C143" s="370"/>
      <c r="D143" s="370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</row>
    <row r="144" spans="1:22" x14ac:dyDescent="0.3">
      <c r="A144" s="370"/>
      <c r="B144" s="370" t="s">
        <v>283</v>
      </c>
      <c r="C144" s="370" t="s">
        <v>7</v>
      </c>
      <c r="D144" s="370" t="s">
        <v>8</v>
      </c>
      <c r="E144" s="370" t="s">
        <v>9</v>
      </c>
      <c r="F144" s="370" t="s">
        <v>10</v>
      </c>
      <c r="G144" s="370" t="s">
        <v>11</v>
      </c>
      <c r="H144" s="370" t="s">
        <v>12</v>
      </c>
      <c r="I144" s="370" t="s">
        <v>13</v>
      </c>
      <c r="J144" s="370" t="s">
        <v>14</v>
      </c>
      <c r="K144" s="370" t="s">
        <v>15</v>
      </c>
      <c r="L144" s="370" t="s">
        <v>16</v>
      </c>
      <c r="M144" s="370" t="s">
        <v>17</v>
      </c>
      <c r="N144" s="370" t="s">
        <v>18</v>
      </c>
      <c r="O144" s="370" t="s">
        <v>19</v>
      </c>
      <c r="P144" s="370" t="s">
        <v>183</v>
      </c>
      <c r="Q144" s="370"/>
      <c r="R144" s="370"/>
      <c r="S144" s="370"/>
      <c r="T144" s="370"/>
      <c r="U144" s="370"/>
      <c r="V144" s="370"/>
    </row>
    <row r="145" spans="1:22" x14ac:dyDescent="0.3">
      <c r="A145" s="370"/>
      <c r="B145" s="370" t="s">
        <v>119</v>
      </c>
      <c r="C145" s="371">
        <f>'Forecast Model'!H8</f>
        <v>31629</v>
      </c>
      <c r="D145" s="371">
        <f>'Forecast Model'!I8</f>
        <v>31629</v>
      </c>
      <c r="E145" s="371">
        <f>'Forecast Model'!J8</f>
        <v>31629</v>
      </c>
      <c r="F145" s="371">
        <f>'Forecast Model'!K8</f>
        <v>31629</v>
      </c>
      <c r="G145" s="371">
        <f>'Forecast Model'!L8</f>
        <v>31629</v>
      </c>
      <c r="H145" s="371">
        <f>'Forecast Model'!M8</f>
        <v>31629</v>
      </c>
      <c r="I145" s="371">
        <f>'Forecast Model'!N8</f>
        <v>31629</v>
      </c>
      <c r="J145" s="371">
        <f>'Forecast Model'!O8</f>
        <v>31629</v>
      </c>
      <c r="K145" s="371">
        <f>'Forecast Model'!P8</f>
        <v>31629</v>
      </c>
      <c r="L145" s="371">
        <f>'Forecast Model'!Q8</f>
        <v>31629</v>
      </c>
      <c r="M145" s="371">
        <f>'Forecast Model'!R8</f>
        <v>31629</v>
      </c>
      <c r="N145" s="371">
        <f>'Forecast Model'!S8</f>
        <v>31629</v>
      </c>
      <c r="O145" s="371">
        <f>SUM(C145:INDEX(C145:N145,MATCH(Outputs!$M$95,$C$144:$N$144,0)))</f>
        <v>63258</v>
      </c>
      <c r="P145" s="371">
        <f>INDEX(C145:N145, MATCH(Outputs!$M$95, 'Formula Audit'!$C$144:$N$144, 0))</f>
        <v>31629</v>
      </c>
      <c r="Q145" s="370"/>
      <c r="R145" s="370"/>
      <c r="S145" s="370"/>
      <c r="T145" s="370"/>
      <c r="U145" s="370"/>
      <c r="V145" s="370"/>
    </row>
    <row r="146" spans="1:22" x14ac:dyDescent="0.3">
      <c r="A146" s="370"/>
      <c r="B146" s="370" t="s">
        <v>120</v>
      </c>
      <c r="C146" s="371">
        <f>'Forecast Model'!H9</f>
        <v>8537</v>
      </c>
      <c r="D146" s="371">
        <f>'Forecast Model'!I9</f>
        <v>8537</v>
      </c>
      <c r="E146" s="371">
        <f>'Forecast Model'!J9</f>
        <v>8537</v>
      </c>
      <c r="F146" s="371">
        <f>'Forecast Model'!K9</f>
        <v>8537</v>
      </c>
      <c r="G146" s="371">
        <f>'Forecast Model'!L9</f>
        <v>8537</v>
      </c>
      <c r="H146" s="371">
        <f>'Forecast Model'!M9</f>
        <v>8537</v>
      </c>
      <c r="I146" s="371">
        <f>'Forecast Model'!N9</f>
        <v>8537</v>
      </c>
      <c r="J146" s="371">
        <f>'Forecast Model'!O9</f>
        <v>8537</v>
      </c>
      <c r="K146" s="371">
        <f>'Forecast Model'!P9</f>
        <v>8537</v>
      </c>
      <c r="L146" s="371">
        <f>'Forecast Model'!Q9</f>
        <v>8537</v>
      </c>
      <c r="M146" s="371">
        <f>'Forecast Model'!R9</f>
        <v>8537</v>
      </c>
      <c r="N146" s="371">
        <f>'Forecast Model'!S9</f>
        <v>8537</v>
      </c>
      <c r="O146" s="371">
        <f>SUM(C146:INDEX(C146:N146,MATCH(Outputs!$M$95,$C$144:$N$144,0)))</f>
        <v>17074</v>
      </c>
      <c r="P146" s="371">
        <f>INDEX(C146:N146, MATCH(Outputs!$M$95, 'Formula Audit'!$C$144:$N$144, 0))</f>
        <v>8537</v>
      </c>
      <c r="Q146" s="370"/>
      <c r="R146" s="370"/>
      <c r="S146" s="370"/>
      <c r="T146" s="370"/>
      <c r="U146" s="370"/>
      <c r="V146" s="370"/>
    </row>
    <row r="147" spans="1:22" x14ac:dyDescent="0.3">
      <c r="A147" s="370"/>
      <c r="B147" s="370" t="s">
        <v>188</v>
      </c>
      <c r="C147" s="371">
        <f>'Forecast Model'!H16</f>
        <v>26637</v>
      </c>
      <c r="D147" s="371">
        <f>'Forecast Model'!I16</f>
        <v>26637</v>
      </c>
      <c r="E147" s="371">
        <f>'Forecast Model'!J16</f>
        <v>26637</v>
      </c>
      <c r="F147" s="371">
        <f>'Forecast Model'!K16</f>
        <v>26637</v>
      </c>
      <c r="G147" s="371">
        <f>'Forecast Model'!L16</f>
        <v>26637</v>
      </c>
      <c r="H147" s="371">
        <f>'Forecast Model'!M16</f>
        <v>26637</v>
      </c>
      <c r="I147" s="371">
        <f>'Forecast Model'!N16</f>
        <v>26637</v>
      </c>
      <c r="J147" s="371">
        <f>'Forecast Model'!O16</f>
        <v>26637</v>
      </c>
      <c r="K147" s="371">
        <f>'Forecast Model'!P16</f>
        <v>26637</v>
      </c>
      <c r="L147" s="371">
        <f>'Forecast Model'!Q16</f>
        <v>26637</v>
      </c>
      <c r="M147" s="371">
        <f>'Forecast Model'!R16</f>
        <v>26637</v>
      </c>
      <c r="N147" s="371">
        <f>'Forecast Model'!S16</f>
        <v>26637</v>
      </c>
      <c r="O147" s="371">
        <f>SUM(C147:INDEX(C147:N147,MATCH(Outputs!$M$95,$C$144:$N$144,0)))</f>
        <v>53274</v>
      </c>
      <c r="P147" s="371">
        <f>INDEX(C147:N147, MATCH(Outputs!$M$95, 'Formula Audit'!$C$144:$N$144, 0))</f>
        <v>26637</v>
      </c>
      <c r="Q147" s="370"/>
      <c r="R147" s="370"/>
      <c r="S147" s="370"/>
      <c r="T147" s="370"/>
      <c r="U147" s="370"/>
      <c r="V147" s="370"/>
    </row>
    <row r="148" spans="1:22" x14ac:dyDescent="0.3">
      <c r="A148" s="370"/>
      <c r="B148" s="370" t="s">
        <v>64</v>
      </c>
      <c r="C148" s="371">
        <f>'Forecast Model'!H21</f>
        <v>3648</v>
      </c>
      <c r="D148" s="371">
        <f>'Forecast Model'!I21</f>
        <v>3648</v>
      </c>
      <c r="E148" s="371">
        <f>'Forecast Model'!J21</f>
        <v>3648</v>
      </c>
      <c r="F148" s="371">
        <f>'Forecast Model'!K21</f>
        <v>3648</v>
      </c>
      <c r="G148" s="371">
        <f>'Forecast Model'!L21</f>
        <v>3648</v>
      </c>
      <c r="H148" s="371">
        <f>'Forecast Model'!M21</f>
        <v>3648</v>
      </c>
      <c r="I148" s="371">
        <f>'Forecast Model'!N21</f>
        <v>3648</v>
      </c>
      <c r="J148" s="371">
        <f>'Forecast Model'!O21</f>
        <v>3648</v>
      </c>
      <c r="K148" s="371">
        <f>'Forecast Model'!P21</f>
        <v>3648</v>
      </c>
      <c r="L148" s="371">
        <f>'Forecast Model'!Q21</f>
        <v>3648</v>
      </c>
      <c r="M148" s="371">
        <f>'Forecast Model'!R21</f>
        <v>3648</v>
      </c>
      <c r="N148" s="371">
        <f>'Forecast Model'!S21</f>
        <v>3648</v>
      </c>
      <c r="O148" s="371">
        <f>SUM(C148:INDEX(C148:N148,MATCH(Outputs!$M$95,$C$144:$N$144,0)))</f>
        <v>7296</v>
      </c>
      <c r="P148" s="371">
        <f>INDEX(C148:N148, MATCH(Outputs!$M$95, 'Formula Audit'!$C$144:$N$144, 0))</f>
        <v>3648</v>
      </c>
      <c r="Q148" s="370"/>
      <c r="R148" s="370"/>
      <c r="S148" s="370"/>
      <c r="T148" s="370"/>
      <c r="U148" s="370"/>
      <c r="V148" s="370"/>
    </row>
    <row r="149" spans="1:22" x14ac:dyDescent="0.3">
      <c r="A149" s="370"/>
      <c r="B149" s="370" t="s">
        <v>65</v>
      </c>
      <c r="C149" s="371">
        <f>'Forecast Model'!H22</f>
        <v>2019</v>
      </c>
      <c r="D149" s="371">
        <f>'Forecast Model'!I22</f>
        <v>2019</v>
      </c>
      <c r="E149" s="371">
        <f>'Forecast Model'!J22</f>
        <v>2019</v>
      </c>
      <c r="F149" s="371">
        <f>'Forecast Model'!K22</f>
        <v>2019</v>
      </c>
      <c r="G149" s="371">
        <f>'Forecast Model'!L22</f>
        <v>2019</v>
      </c>
      <c r="H149" s="371">
        <f>'Forecast Model'!M22</f>
        <v>2019</v>
      </c>
      <c r="I149" s="371">
        <f>'Forecast Model'!N22</f>
        <v>2019</v>
      </c>
      <c r="J149" s="371">
        <f>'Forecast Model'!O22</f>
        <v>2019</v>
      </c>
      <c r="K149" s="371">
        <f>'Forecast Model'!P22</f>
        <v>2019</v>
      </c>
      <c r="L149" s="371">
        <f>'Forecast Model'!Q22</f>
        <v>2019</v>
      </c>
      <c r="M149" s="371">
        <f>'Forecast Model'!R22</f>
        <v>2019</v>
      </c>
      <c r="N149" s="371">
        <f>'Forecast Model'!S22</f>
        <v>2019</v>
      </c>
      <c r="O149" s="371">
        <f>SUM(C149:INDEX(C149:N149,MATCH(Outputs!$M$95,$C$144:$N$144,0)))</f>
        <v>4038</v>
      </c>
      <c r="P149" s="371">
        <f>INDEX(C149:N149, MATCH(Outputs!$M$95, 'Formula Audit'!$C$144:$N$144, 0))</f>
        <v>2019</v>
      </c>
      <c r="Q149" s="370"/>
      <c r="R149" s="370"/>
      <c r="S149" s="370"/>
      <c r="T149" s="370"/>
      <c r="U149" s="370"/>
      <c r="V149" s="370"/>
    </row>
    <row r="150" spans="1:22" x14ac:dyDescent="0.3">
      <c r="A150" s="370"/>
      <c r="B150" s="370" t="s">
        <v>66</v>
      </c>
      <c r="C150" s="371">
        <f>'Forecast Model'!H23</f>
        <v>3647</v>
      </c>
      <c r="D150" s="371">
        <f>'Forecast Model'!I23</f>
        <v>3647</v>
      </c>
      <c r="E150" s="371">
        <f>'Forecast Model'!J23</f>
        <v>3647</v>
      </c>
      <c r="F150" s="371">
        <f>'Forecast Model'!K23</f>
        <v>3647</v>
      </c>
      <c r="G150" s="371">
        <f>'Forecast Model'!L23</f>
        <v>3647</v>
      </c>
      <c r="H150" s="371">
        <f>'Forecast Model'!M23</f>
        <v>3647</v>
      </c>
      <c r="I150" s="371">
        <f>'Forecast Model'!N23</f>
        <v>3647</v>
      </c>
      <c r="J150" s="371">
        <f>'Forecast Model'!O23</f>
        <v>3647</v>
      </c>
      <c r="K150" s="371">
        <f>'Forecast Model'!P23</f>
        <v>3647</v>
      </c>
      <c r="L150" s="371">
        <f>'Forecast Model'!Q23</f>
        <v>3647</v>
      </c>
      <c r="M150" s="371">
        <f>'Forecast Model'!R23</f>
        <v>3647</v>
      </c>
      <c r="N150" s="371">
        <f>'Forecast Model'!S23</f>
        <v>3647</v>
      </c>
      <c r="O150" s="371">
        <f>SUM(C150:INDEX(C150:N150,MATCH(Outputs!$M$95,$C$144:$N$144,0)))</f>
        <v>7294</v>
      </c>
      <c r="P150" s="371">
        <f>INDEX(C150:N150, MATCH(Outputs!$M$95, 'Formula Audit'!$C$144:$N$144, 0))</f>
        <v>3647</v>
      </c>
      <c r="Q150" s="370"/>
      <c r="R150" s="370"/>
      <c r="S150" s="370"/>
      <c r="T150" s="370"/>
      <c r="U150" s="370"/>
      <c r="V150" s="370"/>
    </row>
    <row r="151" spans="1:22" x14ac:dyDescent="0.3">
      <c r="A151" s="370"/>
      <c r="B151" s="370" t="s">
        <v>67</v>
      </c>
      <c r="C151" s="371">
        <f>'Forecast Model'!H24</f>
        <v>440</v>
      </c>
      <c r="D151" s="371">
        <f>'Forecast Model'!I24</f>
        <v>440</v>
      </c>
      <c r="E151" s="371">
        <f>'Forecast Model'!J24</f>
        <v>440</v>
      </c>
      <c r="F151" s="371">
        <f>'Forecast Model'!K24</f>
        <v>440</v>
      </c>
      <c r="G151" s="371">
        <f>'Forecast Model'!L24</f>
        <v>440</v>
      </c>
      <c r="H151" s="371">
        <f>'Forecast Model'!M24</f>
        <v>440</v>
      </c>
      <c r="I151" s="371">
        <f>'Forecast Model'!N24</f>
        <v>440</v>
      </c>
      <c r="J151" s="371">
        <f>'Forecast Model'!O24</f>
        <v>440</v>
      </c>
      <c r="K151" s="371">
        <f>'Forecast Model'!P24</f>
        <v>440</v>
      </c>
      <c r="L151" s="371">
        <f>'Forecast Model'!Q24</f>
        <v>440</v>
      </c>
      <c r="M151" s="371">
        <f>'Forecast Model'!R24</f>
        <v>440</v>
      </c>
      <c r="N151" s="371">
        <f>'Forecast Model'!S24</f>
        <v>440</v>
      </c>
      <c r="O151" s="371">
        <f>SUM(C151:INDEX(C151:N151,MATCH(Outputs!$M$95,$C$144:$N$144,0)))</f>
        <v>880</v>
      </c>
      <c r="P151" s="371">
        <f>INDEX(C151:N151, MATCH(Outputs!$M$95, 'Formula Audit'!$C$144:$N$144, 0))</f>
        <v>440</v>
      </c>
      <c r="Q151" s="370"/>
      <c r="R151" s="370"/>
      <c r="S151" s="370"/>
      <c r="T151" s="370"/>
      <c r="U151" s="370"/>
      <c r="V151" s="370"/>
    </row>
    <row r="152" spans="1:22" x14ac:dyDescent="0.3">
      <c r="A152" s="370"/>
      <c r="B152" s="370" t="s">
        <v>68</v>
      </c>
      <c r="C152" s="371">
        <f>'Forecast Model'!H25</f>
        <v>871</v>
      </c>
      <c r="D152" s="371">
        <f>'Forecast Model'!I25</f>
        <v>871</v>
      </c>
      <c r="E152" s="371">
        <f>'Forecast Model'!J25</f>
        <v>871</v>
      </c>
      <c r="F152" s="371">
        <f>'Forecast Model'!K25</f>
        <v>871</v>
      </c>
      <c r="G152" s="371">
        <f>'Forecast Model'!L25</f>
        <v>871</v>
      </c>
      <c r="H152" s="371">
        <f>'Forecast Model'!M25</f>
        <v>871</v>
      </c>
      <c r="I152" s="371">
        <f>'Forecast Model'!N25</f>
        <v>871</v>
      </c>
      <c r="J152" s="371">
        <f>'Forecast Model'!O25</f>
        <v>871</v>
      </c>
      <c r="K152" s="371">
        <f>'Forecast Model'!P25</f>
        <v>871</v>
      </c>
      <c r="L152" s="371">
        <f>'Forecast Model'!Q25</f>
        <v>871</v>
      </c>
      <c r="M152" s="371">
        <f>'Forecast Model'!R25</f>
        <v>871</v>
      </c>
      <c r="N152" s="371">
        <f>'Forecast Model'!S25</f>
        <v>871</v>
      </c>
      <c r="O152" s="371">
        <f>SUM(C152:INDEX(C152:N152,MATCH(Outputs!$M$95,$C$144:$N$144,0)))</f>
        <v>1742</v>
      </c>
      <c r="P152" s="371">
        <f>INDEX(C152:N152, MATCH(Outputs!$M$95, 'Formula Audit'!$C$144:$N$144, 0))</f>
        <v>871</v>
      </c>
      <c r="Q152" s="370"/>
      <c r="R152" s="370"/>
      <c r="S152" s="370"/>
      <c r="T152" s="370"/>
      <c r="U152" s="370"/>
      <c r="V152" s="370"/>
    </row>
    <row r="153" spans="1:22" x14ac:dyDescent="0.3">
      <c r="A153" s="370"/>
      <c r="B153" s="370" t="s">
        <v>127</v>
      </c>
      <c r="C153" s="371">
        <f>'Forecast Model'!H31</f>
        <v>383</v>
      </c>
      <c r="D153" s="371">
        <f>'Forecast Model'!I31</f>
        <v>383</v>
      </c>
      <c r="E153" s="371">
        <f>'Forecast Model'!J31</f>
        <v>383</v>
      </c>
      <c r="F153" s="371">
        <f>'Forecast Model'!K31</f>
        <v>383</v>
      </c>
      <c r="G153" s="371">
        <f>'Forecast Model'!L31</f>
        <v>383</v>
      </c>
      <c r="H153" s="371">
        <f>'Forecast Model'!M31</f>
        <v>383</v>
      </c>
      <c r="I153" s="371">
        <f>'Forecast Model'!N31</f>
        <v>383</v>
      </c>
      <c r="J153" s="371">
        <f>'Forecast Model'!O31</f>
        <v>383</v>
      </c>
      <c r="K153" s="371">
        <f>'Forecast Model'!P31</f>
        <v>383</v>
      </c>
      <c r="L153" s="371">
        <f>'Forecast Model'!Q31</f>
        <v>383</v>
      </c>
      <c r="M153" s="371">
        <f>'Forecast Model'!R31</f>
        <v>383</v>
      </c>
      <c r="N153" s="371">
        <f>'Forecast Model'!S31</f>
        <v>383</v>
      </c>
      <c r="O153" s="371">
        <f>SUM(C153:INDEX(C153:N153,MATCH(Outputs!$M$95,$C$144:$N$144,0)))</f>
        <v>766</v>
      </c>
      <c r="P153" s="371">
        <f>INDEX(C153:N153, MATCH(Outputs!$M$95, 'Formula Audit'!$C$144:$N$144, 0))</f>
        <v>383</v>
      </c>
      <c r="Q153" s="370"/>
      <c r="R153" s="370"/>
      <c r="S153" s="370"/>
      <c r="T153" s="370"/>
      <c r="U153" s="370"/>
      <c r="V153" s="370"/>
    </row>
    <row r="154" spans="1:22" x14ac:dyDescent="0.3">
      <c r="A154" s="370"/>
      <c r="B154" s="370" t="s">
        <v>129</v>
      </c>
      <c r="C154" s="371">
        <f>'Forecast Model'!H34</f>
        <v>1717</v>
      </c>
      <c r="D154" s="371">
        <f>'Forecast Model'!I34</f>
        <v>1717</v>
      </c>
      <c r="E154" s="371">
        <f>'Forecast Model'!J34</f>
        <v>1717</v>
      </c>
      <c r="F154" s="371">
        <f>'Forecast Model'!K34</f>
        <v>1717</v>
      </c>
      <c r="G154" s="371">
        <f>'Forecast Model'!L34</f>
        <v>1717</v>
      </c>
      <c r="H154" s="371">
        <f>'Forecast Model'!M34</f>
        <v>1717</v>
      </c>
      <c r="I154" s="371">
        <f>'Forecast Model'!N34</f>
        <v>1717</v>
      </c>
      <c r="J154" s="371">
        <f>'Forecast Model'!O34</f>
        <v>1717</v>
      </c>
      <c r="K154" s="371">
        <f>'Forecast Model'!P34</f>
        <v>1717</v>
      </c>
      <c r="L154" s="371">
        <f>'Forecast Model'!Q34</f>
        <v>1717</v>
      </c>
      <c r="M154" s="371">
        <f>'Forecast Model'!R34</f>
        <v>1717</v>
      </c>
      <c r="N154" s="371">
        <f>'Forecast Model'!S34</f>
        <v>1717</v>
      </c>
      <c r="O154" s="371">
        <f>SUM(C154:INDEX(C154:N154,MATCH(Outputs!$M$95,$C$144:$N$144,0)))</f>
        <v>3434</v>
      </c>
      <c r="P154" s="371">
        <f>INDEX(C154:N154, MATCH(Outputs!$M$95, 'Formula Audit'!$C$144:$N$144, 0))</f>
        <v>1717</v>
      </c>
      <c r="Q154" s="370"/>
      <c r="R154" s="370"/>
      <c r="S154" s="370"/>
      <c r="T154" s="370"/>
      <c r="U154" s="370"/>
      <c r="V154" s="370"/>
    </row>
    <row r="155" spans="1:22" x14ac:dyDescent="0.3">
      <c r="A155" s="370"/>
      <c r="B155" s="370"/>
      <c r="C155" s="370"/>
      <c r="D155" s="370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</row>
    <row r="156" spans="1:22" x14ac:dyDescent="0.3" ht="28.5" customHeight="1">
      <c r="A156" s="370"/>
      <c r="B156" s="370" t="s">
        <v>54</v>
      </c>
      <c r="C156" s="370" t="s">
        <v>184</v>
      </c>
      <c r="D156" s="370" t="s">
        <v>185</v>
      </c>
      <c r="E156" s="476" t="s">
        <v>282</v>
      </c>
      <c r="F156" s="370" t="s">
        <v>284</v>
      </c>
      <c r="G156" s="476" t="s">
        <v>285</v>
      </c>
      <c r="H156" s="370" t="s">
        <v>286</v>
      </c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</row>
    <row r="157" spans="1:22" x14ac:dyDescent="0.3">
      <c r="A157" s="370"/>
      <c r="B157" s="371" t="str">
        <f>Outputs!D124</f>
        <v>Revenue (Net)</v>
      </c>
      <c r="C157" s="371">
        <f>Outputs!E124</f>
        <v>40166</v>
      </c>
      <c r="D157" s="371">
        <f>Outputs!F124</f>
        <v>32668.453368000002</v>
      </c>
      <c r="E157" s="371">
        <f>C157-D157</f>
        <v>7497.5466319999978</v>
      </c>
      <c r="F157" s="371">
        <f>MIN(C157:D157)</f>
        <v>32668.453368000002</v>
      </c>
      <c r="G157" s="371">
        <f>IF($E157&gt;0,$E157,"")</f>
        <v>7497.5466319999978</v>
      </c>
      <c r="H157" s="371" t="str">
        <f>IF($E157&lt;0,ABS($E157),"")</f>
        <v/>
      </c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</row>
    <row r="158" spans="1:22" x14ac:dyDescent="0.3">
      <c r="A158" s="370"/>
      <c r="B158" s="371" t="str">
        <f>Outputs!D125</f>
        <v>Cost of Goods</v>
      </c>
      <c r="C158" s="371">
        <f>Outputs!E125</f>
        <v>26637</v>
      </c>
      <c r="D158" s="371">
        <f>Outputs!F125</f>
        <v>18106.696175574296</v>
      </c>
      <c r="E158" s="371">
        <f>C158-D158</f>
        <v>8530.3038244257041</v>
      </c>
      <c r="F158" s="371">
        <f>MIN(C158:D158)</f>
        <v>18106.696175574296</v>
      </c>
      <c r="G158" s="371">
        <f>IF($E158&gt;0,$E158,"")</f>
        <v>8530.3038244257041</v>
      </c>
      <c r="H158" s="371" t="str">
        <f>IF($E158&lt;0,ABS($E158),"")</f>
        <v/>
      </c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</row>
    <row r="159" spans="1:22" x14ac:dyDescent="0.3">
      <c r="A159" s="370"/>
      <c r="B159" s="371" t="str">
        <f>Outputs!D126</f>
        <v>Operating Expenditure</v>
      </c>
      <c r="C159" s="371">
        <f>Outputs!E126</f>
        <v>10625</v>
      </c>
      <c r="D159" s="371">
        <f>Outputs!F126</f>
        <v>10181.936163251798</v>
      </c>
      <c r="E159" s="371">
        <f>C159-D159</f>
        <v>443.06383674820245</v>
      </c>
      <c r="F159" s="371">
        <f>MIN(C159:D159)</f>
        <v>10181.936163251798</v>
      </c>
      <c r="G159" s="371">
        <f>IF($E159&gt;0,$E159,"")</f>
        <v>443.06383674820245</v>
      </c>
      <c r="H159" s="371" t="str">
        <f>IF($E159&lt;0,ABS($E159),"")</f>
        <v/>
      </c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</row>
    <row r="160" spans="1:22" x14ac:dyDescent="0.3">
      <c r="A160" s="370"/>
      <c r="B160" s="371" t="str">
        <f>Outputs!D127</f>
        <v>Interest &amp; Tax</v>
      </c>
      <c r="C160" s="371">
        <f>Outputs!E127</f>
        <v>2100</v>
      </c>
      <c r="D160" s="371">
        <f>Outputs!F127</f>
        <v>1431.0564993430517</v>
      </c>
      <c r="E160" s="371">
        <f>C160-D160</f>
        <v>668.94350065694834</v>
      </c>
      <c r="F160" s="371">
        <f>MIN(C160:D160)</f>
        <v>1431.0564993430517</v>
      </c>
      <c r="G160" s="371">
        <f>IF($E160&gt;0,$E160,"")</f>
        <v>668.94350065694834</v>
      </c>
      <c r="H160" s="371" t="str">
        <f>IF($E160&lt;0,ABS($E160),"")</f>
        <v/>
      </c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</row>
    <row r="161" spans="1:22" x14ac:dyDescent="0.3">
      <c r="A161" s="370"/>
      <c r="B161" s="370"/>
      <c r="C161" s="370"/>
      <c r="D161" s="370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</row>
    <row r="162" spans="1:22" x14ac:dyDescent="0.3">
      <c r="A162" s="370" t="s">
        <v>185</v>
      </c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</row>
    <row r="163" spans="1:22" x14ac:dyDescent="0.3">
      <c r="A163" s="370"/>
      <c r="B163" s="370" t="s">
        <v>283</v>
      </c>
      <c r="C163" s="370" t="s">
        <v>7</v>
      </c>
      <c r="D163" s="370" t="s">
        <v>8</v>
      </c>
      <c r="E163" s="370" t="s">
        <v>9</v>
      </c>
      <c r="F163" s="370" t="s">
        <v>10</v>
      </c>
      <c r="G163" s="370" t="s">
        <v>11</v>
      </c>
      <c r="H163" s="370" t="s">
        <v>12</v>
      </c>
      <c r="I163" s="370" t="s">
        <v>13</v>
      </c>
      <c r="J163" s="370" t="s">
        <v>14</v>
      </c>
      <c r="K163" s="370" t="s">
        <v>15</v>
      </c>
      <c r="L163" s="370" t="s">
        <v>16</v>
      </c>
      <c r="M163" s="370" t="s">
        <v>17</v>
      </c>
      <c r="N163" s="370" t="s">
        <v>18</v>
      </c>
      <c r="O163" s="370" t="s">
        <v>19</v>
      </c>
      <c r="P163" s="370" t="s">
        <v>183</v>
      </c>
      <c r="Q163" s="370"/>
      <c r="R163" s="370"/>
      <c r="S163" s="370"/>
      <c r="T163" s="370"/>
      <c r="U163" s="370"/>
      <c r="V163" s="370"/>
    </row>
    <row r="164" spans="1:22" x14ac:dyDescent="0.3">
      <c r="A164" s="370"/>
      <c r="B164" s="370" t="s">
        <v>119</v>
      </c>
      <c r="C164" s="371">
        <f>'Forecast Model'!H108</f>
        <v>15549.199566000001</v>
      </c>
      <c r="D164" s="371">
        <f>'Forecast Model'!I108</f>
        <v>15690.806982000002</v>
      </c>
      <c r="E164" s="371">
        <f>'Forecast Model'!J108</f>
        <v>15832.414398000001</v>
      </c>
      <c r="F164" s="371">
        <f>'Forecast Model'!K108</f>
        <v>15974.006547999999</v>
      </c>
      <c r="G164" s="371">
        <f>'Forecast Model'!L108</f>
        <v>16682.028362000001</v>
      </c>
      <c r="H164" s="371">
        <f>'Forecast Model'!M108</f>
        <v>16965.227928</v>
      </c>
      <c r="I164" s="371">
        <f>'Forecast Model'!N108</f>
        <v>16398.813529999999</v>
      </c>
      <c r="J164" s="371">
        <f>'Forecast Model'!O108</f>
        <v>15974.006547999999</v>
      </c>
      <c r="K164" s="371">
        <f>'Forecast Model'!P108</f>
        <v>14982.800433999999</v>
      </c>
      <c r="L164" s="371">
        <f>'Forecast Model'!Q108</f>
        <v>15690.806982000002</v>
      </c>
      <c r="M164" s="371">
        <f>'Forecast Model'!R108</f>
        <v>16398.813529999999</v>
      </c>
      <c r="N164" s="371">
        <f>'Forecast Model'!S108</f>
        <v>16965.227928</v>
      </c>
      <c r="O164" s="371">
        <f>SUM(C164:INDEX(C164:N164,MATCH(Outputs!$M$95,$C$163:$N$163,0)))</f>
        <v>31240.006548000005</v>
      </c>
      <c r="P164" s="367">
        <f>INDEX(C164:N164, MATCH(Outputs!$M$95, 'Formula Audit'!$C$163:$N$163, 0))</f>
        <v>15690.806982000002</v>
      </c>
      <c r="Q164" s="370"/>
      <c r="R164" s="370"/>
      <c r="S164" s="370"/>
      <c r="T164" s="370"/>
      <c r="U164" s="370"/>
      <c r="V164" s="370"/>
    </row>
    <row r="165" spans="1:22" x14ac:dyDescent="0.3">
      <c r="A165" s="370"/>
      <c r="B165" s="370" t="s">
        <v>120</v>
      </c>
      <c r="C165" s="371">
        <f>'Forecast Model'!H109</f>
        <v>16824.425418000003</v>
      </c>
      <c r="D165" s="371">
        <f>'Forecast Model'!I109</f>
        <v>16977.646386</v>
      </c>
      <c r="E165" s="371">
        <f>'Forecast Model'!J109</f>
        <v>17130.867354000002</v>
      </c>
      <c r="F165" s="371">
        <f>'Forecast Model'!K109</f>
        <v>17284.071803999999</v>
      </c>
      <c r="G165" s="371">
        <f>'Forecast Model'!L109</f>
        <v>18050.160125999999</v>
      </c>
      <c r="H165" s="371">
        <f>'Forecast Model'!M109</f>
        <v>18356.585543999998</v>
      </c>
      <c r="I165" s="371">
        <f>'Forecast Model'!N109</f>
        <v>17743.71819</v>
      </c>
      <c r="J165" s="371">
        <f>'Forecast Model'!O109</f>
        <v>17284.071803999999</v>
      </c>
      <c r="K165" s="371">
        <f>'Forecast Model'!P109</f>
        <v>16211.574581999999</v>
      </c>
      <c r="L165" s="371">
        <f>'Forecast Model'!Q109</f>
        <v>16977.646386</v>
      </c>
      <c r="M165" s="371">
        <f>'Forecast Model'!R109</f>
        <v>17743.71819</v>
      </c>
      <c r="N165" s="371">
        <f>'Forecast Model'!S109</f>
        <v>18356.585543999998</v>
      </c>
      <c r="O165" s="371">
        <f>SUM(C165:INDEX(C165:N165,MATCH(Outputs!$M$95,$C$163:$N$163,0)))</f>
        <v>33802.071804000007</v>
      </c>
      <c r="P165" s="367">
        <f>INDEX(C165:N165, MATCH(Outputs!$M$95, 'Formula Audit'!$C$163:$N$163, 0))</f>
        <v>16977.646386</v>
      </c>
      <c r="Q165" s="370"/>
      <c r="R165" s="370"/>
      <c r="S165" s="370"/>
      <c r="T165" s="370"/>
      <c r="U165" s="370"/>
      <c r="V165" s="370"/>
    </row>
    <row r="166" spans="1:22" x14ac:dyDescent="0.3">
      <c r="A166" s="370"/>
      <c r="B166" s="370" t="s">
        <v>188</v>
      </c>
      <c r="C166" s="371">
        <f>'Forecast Model'!H116</f>
        <v>17943.28568555542</v>
      </c>
      <c r="D166" s="371">
        <f>'Forecast Model'!I116</f>
        <v>18106.696175574296</v>
      </c>
      <c r="E166" s="371">
        <f>'Forecast Model'!J116</f>
        <v>18270.106665593168</v>
      </c>
      <c r="F166" s="371">
        <f>'Forecast Model'!K116</f>
        <v>18433.499539129716</v>
      </c>
      <c r="G166" s="371">
        <f>'Forecast Model'!L116</f>
        <v>19250.534372741757</v>
      </c>
      <c r="H166" s="371">
        <f>'Forecast Model'!M116</f>
        <v>19577.337736297173</v>
      </c>
      <c r="I166" s="371">
        <f>'Forecast Model'!N116</f>
        <v>18923.713392704012</v>
      </c>
      <c r="J166" s="371">
        <f>'Forecast Model'!O116</f>
        <v>18433.499539129716</v>
      </c>
      <c r="K166" s="371">
        <f>'Forecast Model'!P116</f>
        <v>17289.678958444576</v>
      </c>
      <c r="L166" s="371">
        <f>'Forecast Model'!Q116</f>
        <v>18106.696175574296</v>
      </c>
      <c r="M166" s="371">
        <f>'Forecast Model'!R116</f>
        <v>18923.713392704012</v>
      </c>
      <c r="N166" s="371">
        <f>'Forecast Model'!S116</f>
        <v>19577.337736297173</v>
      </c>
      <c r="O166" s="371">
        <f>SUM(C166:INDEX(C166:N166,MATCH(Outputs!$M$95,$C$163:$N$163,0)))</f>
        <v>36049.981861129716</v>
      </c>
      <c r="P166" s="367">
        <f>INDEX(C166:N166, MATCH(Outputs!$M$95, 'Formula Audit'!$C$163:$N$163, 0))</f>
        <v>18106.696175574296</v>
      </c>
      <c r="Q166" s="370"/>
      <c r="R166" s="370"/>
      <c r="S166" s="370"/>
      <c r="T166" s="370"/>
      <c r="U166" s="370"/>
      <c r="V166" s="370"/>
    </row>
    <row r="167" spans="1:22" x14ac:dyDescent="0.3">
      <c r="A167" s="370"/>
      <c r="B167" s="370" t="s">
        <v>64</v>
      </c>
      <c r="C167" s="371">
        <f>'Forecast Model'!H121</f>
        <v>4895.75</v>
      </c>
      <c r="D167" s="371">
        <f>'Forecast Model'!I121</f>
        <v>4895.75</v>
      </c>
      <c r="E167" s="371">
        <f>'Forecast Model'!J121</f>
        <v>4895.75</v>
      </c>
      <c r="F167" s="371">
        <f>'Forecast Model'!K121</f>
        <v>4895.75</v>
      </c>
      <c r="G167" s="371">
        <f>'Forecast Model'!L121</f>
        <v>4895.75</v>
      </c>
      <c r="H167" s="371">
        <f>'Forecast Model'!M121</f>
        <v>4895.75</v>
      </c>
      <c r="I167" s="371">
        <f>'Forecast Model'!N121</f>
        <v>4895.75</v>
      </c>
      <c r="J167" s="371">
        <f>'Forecast Model'!O121</f>
        <v>4895.75</v>
      </c>
      <c r="K167" s="371">
        <f>'Forecast Model'!P121</f>
        <v>4895.75</v>
      </c>
      <c r="L167" s="371">
        <f>'Forecast Model'!Q121</f>
        <v>4895.75</v>
      </c>
      <c r="M167" s="371">
        <f>'Forecast Model'!R121</f>
        <v>4895.75</v>
      </c>
      <c r="N167" s="371">
        <f>'Forecast Model'!S121</f>
        <v>4895.75</v>
      </c>
      <c r="O167" s="371">
        <f>SUM(C167:INDEX(C167:N167,MATCH(Outputs!$M$95,$C$163:$N$163,0)))</f>
        <v>9791.5</v>
      </c>
      <c r="P167" s="367">
        <f>INDEX(C167:N167, MATCH(Outputs!$M$95, 'Formula Audit'!$C$163:$N$163, 0))</f>
        <v>4895.75</v>
      </c>
      <c r="Q167" s="370"/>
      <c r="R167" s="370"/>
      <c r="S167" s="370"/>
      <c r="T167" s="370"/>
      <c r="U167" s="370"/>
      <c r="V167" s="370"/>
    </row>
    <row r="168" spans="1:22" x14ac:dyDescent="0.3">
      <c r="A168" s="370"/>
      <c r="B168" s="370" t="s">
        <v>65</v>
      </c>
      <c r="C168" s="371">
        <f>'Forecast Model'!H122</f>
        <v>1476.0430575204962</v>
      </c>
      <c r="D168" s="371">
        <f>'Forecast Model'!I122</f>
        <v>1489.4854628605922</v>
      </c>
      <c r="E168" s="371">
        <f>'Forecast Model'!J122</f>
        <v>1502.9278682006882</v>
      </c>
      <c r="F168" s="371">
        <f>'Forecast Model'!K122</f>
        <v>1516.368824381088</v>
      </c>
      <c r="G168" s="371">
        <f>'Forecast Model'!L122</f>
        <v>1583.579401921872</v>
      </c>
      <c r="H168" s="371">
        <f>'Forecast Model'!M122</f>
        <v>1610.4627634423678</v>
      </c>
      <c r="I168" s="371">
        <f>'Forecast Model'!N122</f>
        <v>1556.69459124168</v>
      </c>
      <c r="J168" s="371">
        <f>'Forecast Model'!O122</f>
        <v>1516.368824381088</v>
      </c>
      <c r="K168" s="371">
        <f>'Forecast Model'!P122</f>
        <v>1422.2763344795039</v>
      </c>
      <c r="L168" s="371">
        <f>'Forecast Model'!Q122</f>
        <v>1489.4854628605922</v>
      </c>
      <c r="M168" s="371">
        <f>'Forecast Model'!R122</f>
        <v>1556.69459124168</v>
      </c>
      <c r="N168" s="371">
        <f>'Forecast Model'!S122</f>
        <v>1610.4627634423678</v>
      </c>
      <c r="O168" s="371">
        <f>SUM(C168:INDEX(C168:N168,MATCH(Outputs!$M$95,$C$163:$N$163,0)))</f>
        <v>2965.5285203810881</v>
      </c>
      <c r="P168" s="367">
        <f>INDEX(C168:N168, MATCH(Outputs!$M$95, 'Formula Audit'!$C$163:$N$163, 0))</f>
        <v>1489.4854628605922</v>
      </c>
      <c r="Q168" s="370"/>
      <c r="R168" s="370"/>
      <c r="S168" s="370"/>
      <c r="T168" s="370"/>
      <c r="U168" s="370"/>
      <c r="V168" s="370"/>
    </row>
    <row r="169" spans="1:22" x14ac:dyDescent="0.3">
      <c r="A169" s="370"/>
      <c r="B169" s="370" t="s">
        <v>66</v>
      </c>
      <c r="C169" s="371">
        <f>'Forecast Model'!H123</f>
        <v>2844.5833333333335</v>
      </c>
      <c r="D169" s="371">
        <f>'Forecast Model'!I123</f>
        <v>2844.5833333333335</v>
      </c>
      <c r="E169" s="371">
        <f>'Forecast Model'!J123</f>
        <v>2844.5833333333335</v>
      </c>
      <c r="F169" s="371">
        <f>'Forecast Model'!K123</f>
        <v>2844.5833333333335</v>
      </c>
      <c r="G169" s="371">
        <f>'Forecast Model'!L123</f>
        <v>2844.5833333333335</v>
      </c>
      <c r="H169" s="371">
        <f>'Forecast Model'!M123</f>
        <v>2844.5833333333335</v>
      </c>
      <c r="I169" s="371">
        <f>'Forecast Model'!N123</f>
        <v>2844.5833333333335</v>
      </c>
      <c r="J169" s="371">
        <f>'Forecast Model'!O123</f>
        <v>2844.5833333333335</v>
      </c>
      <c r="K169" s="371">
        <f>'Forecast Model'!P123</f>
        <v>2844.5833333333335</v>
      </c>
      <c r="L169" s="371">
        <f>'Forecast Model'!Q123</f>
        <v>2844.5833333333335</v>
      </c>
      <c r="M169" s="371">
        <f>'Forecast Model'!R123</f>
        <v>2844.5833333333335</v>
      </c>
      <c r="N169" s="371">
        <f>'Forecast Model'!S123</f>
        <v>2844.5833333333335</v>
      </c>
      <c r="O169" s="371">
        <f>SUM(C169:INDEX(C169:N169,MATCH(Outputs!$M$95,$C$163:$N$163,0)))</f>
        <v>5689.166666666667</v>
      </c>
      <c r="P169" s="367">
        <f>INDEX(C169:N169, MATCH(Outputs!$M$95, 'Formula Audit'!$C$163:$N$163, 0))</f>
        <v>2844.5833333333335</v>
      </c>
      <c r="Q169" s="370"/>
      <c r="R169" s="370"/>
      <c r="S169" s="370"/>
      <c r="T169" s="370"/>
      <c r="U169" s="370"/>
      <c r="V169" s="370"/>
    </row>
    <row r="170" spans="1:22" x14ac:dyDescent="0.3">
      <c r="A170" s="370"/>
      <c r="B170" s="370" t="s">
        <v>67</v>
      </c>
      <c r="C170" s="371">
        <f>'Forecast Model'!H124</f>
        <v>228.36355063713603</v>
      </c>
      <c r="D170" s="371">
        <f>'Forecast Model'!I124</f>
        <v>230.44327005787204</v>
      </c>
      <c r="E170" s="371">
        <f>'Forecast Model'!J124</f>
        <v>232.52298947860803</v>
      </c>
      <c r="F170" s="371">
        <f>'Forecast Model'!K124</f>
        <v>234.602484695008</v>
      </c>
      <c r="G170" s="371">
        <f>'Forecast Model'!L124</f>
        <v>245.000857594352</v>
      </c>
      <c r="H170" s="371">
        <f>'Forecast Model'!M124</f>
        <v>249.16007223148799</v>
      </c>
      <c r="I170" s="371">
        <f>'Forecast Model'!N124</f>
        <v>240.84141875288</v>
      </c>
      <c r="J170" s="371">
        <f>'Forecast Model'!O124</f>
        <v>234.602484695008</v>
      </c>
      <c r="K170" s="371">
        <f>'Forecast Model'!P124</f>
        <v>220.04512136286399</v>
      </c>
      <c r="L170" s="371">
        <f>'Forecast Model'!Q124</f>
        <v>230.44327005787204</v>
      </c>
      <c r="M170" s="371">
        <f>'Forecast Model'!R124</f>
        <v>240.84141875288</v>
      </c>
      <c r="N170" s="371">
        <f>'Forecast Model'!S124</f>
        <v>249.16007223148799</v>
      </c>
      <c r="O170" s="371">
        <f>SUM(C170:INDEX(C170:N170,MATCH(Outputs!$M$95,$C$163:$N$163,0)))</f>
        <v>458.80682069500807</v>
      </c>
      <c r="P170" s="367">
        <f>INDEX(C170:N170, MATCH(Outputs!$M$95, 'Formula Audit'!$C$163:$N$163, 0))</f>
        <v>230.44327005787204</v>
      </c>
      <c r="Q170" s="370"/>
      <c r="R170" s="370"/>
      <c r="S170" s="370"/>
      <c r="T170" s="370"/>
      <c r="U170" s="370"/>
      <c r="V170" s="370"/>
    </row>
    <row r="171" spans="1:22" x14ac:dyDescent="0.3">
      <c r="A171" s="370"/>
      <c r="B171" s="370" t="s">
        <v>68</v>
      </c>
      <c r="C171" s="371">
        <f>'Forecast Model'!H125</f>
        <v>721.67409700000007</v>
      </c>
      <c r="D171" s="371">
        <f>'Forecast Model'!I125</f>
        <v>721.67409700000007</v>
      </c>
      <c r="E171" s="371">
        <f>'Forecast Model'!J125</f>
        <v>721.67409700000007</v>
      </c>
      <c r="F171" s="371">
        <f>'Forecast Model'!K125</f>
        <v>721.67409700000007</v>
      </c>
      <c r="G171" s="371">
        <f>'Forecast Model'!L125</f>
        <v>721.67409700000007</v>
      </c>
      <c r="H171" s="371">
        <f>'Forecast Model'!M125</f>
        <v>721.67409700000007</v>
      </c>
      <c r="I171" s="371">
        <f>'Forecast Model'!N125</f>
        <v>721.67409700000007</v>
      </c>
      <c r="J171" s="371">
        <f>'Forecast Model'!O125</f>
        <v>721.67409700000007</v>
      </c>
      <c r="K171" s="371">
        <f>'Forecast Model'!P125</f>
        <v>721.67409700000007</v>
      </c>
      <c r="L171" s="371">
        <f>'Forecast Model'!Q125</f>
        <v>721.67409700000007</v>
      </c>
      <c r="M171" s="371">
        <f>'Forecast Model'!R125</f>
        <v>721.67409700000007</v>
      </c>
      <c r="N171" s="371">
        <f>'Forecast Model'!S125</f>
        <v>721.67409700000007</v>
      </c>
      <c r="O171" s="371">
        <f>SUM(C171:INDEX(C171:N171,MATCH(Outputs!$M$95,$C$163:$N$163,0)))</f>
        <v>1443.3481940000001</v>
      </c>
      <c r="P171" s="367">
        <f>INDEX(C171:N171, MATCH(Outputs!$M$95, 'Formula Audit'!$C$163:$N$163, 0))</f>
        <v>721.67409700000007</v>
      </c>
      <c r="Q171" s="370"/>
      <c r="R171" s="370"/>
      <c r="S171" s="370"/>
      <c r="T171" s="370"/>
      <c r="U171" s="370"/>
      <c r="V171" s="370"/>
    </row>
    <row r="172" spans="1:22" x14ac:dyDescent="0.3">
      <c r="A172" s="370"/>
      <c r="B172" s="370" t="s">
        <v>127</v>
      </c>
      <c r="C172" s="371">
        <f>'Forecast Model'!H131</f>
        <v>371.20741328816666</v>
      </c>
      <c r="D172" s="371">
        <f>'Forecast Model'!I131</f>
        <v>368.80238871602978</v>
      </c>
      <c r="E172" s="371">
        <f>'Forecast Model'!J131</f>
        <v>366.38712727881557</v>
      </c>
      <c r="F172" s="371">
        <f>'Forecast Model'!K131</f>
        <v>363.9718121492441</v>
      </c>
      <c r="G172" s="371">
        <f>'Forecast Model'!L131</f>
        <v>361.55649673805624</v>
      </c>
      <c r="H172" s="371">
        <f>'Forecast Model'!M131</f>
        <v>359.14118132539124</v>
      </c>
      <c r="I172" s="371">
        <f>'Forecast Model'!N131</f>
        <v>356.72586591271852</v>
      </c>
      <c r="J172" s="371">
        <f>'Forecast Model'!O131</f>
        <v>354.31055050004574</v>
      </c>
      <c r="K172" s="371">
        <f>'Forecast Model'!P131</f>
        <v>351.89523508737295</v>
      </c>
      <c r="L172" s="371">
        <f>'Forecast Model'!Q131</f>
        <v>349.47991967470017</v>
      </c>
      <c r="M172" s="371">
        <f>'Forecast Model'!R131</f>
        <v>347.06460426202744</v>
      </c>
      <c r="N172" s="371">
        <f>'Forecast Model'!S131</f>
        <v>344.6492888493546</v>
      </c>
      <c r="O172" s="371">
        <f>SUM(C172:INDEX(C172:N172,MATCH(Outputs!$M$95,$C$163:$N$163,0)))</f>
        <v>740.00980200419644</v>
      </c>
      <c r="P172" s="367">
        <f>INDEX(C172:N172, MATCH(Outputs!$M$95, 'Formula Audit'!$C$163:$N$163, 0))</f>
        <v>368.80238871602978</v>
      </c>
      <c r="Q172" s="370"/>
      <c r="R172" s="370"/>
      <c r="S172" s="370"/>
      <c r="T172" s="370"/>
      <c r="U172" s="370"/>
      <c r="V172" s="370"/>
    </row>
    <row r="173" spans="1:22" x14ac:dyDescent="0.3">
      <c r="A173" s="370"/>
      <c r="B173" s="370" t="s">
        <v>129</v>
      </c>
      <c r="C173" s="371">
        <f>'Forecast Model'!H134</f>
        <v>1030.9240382037976</v>
      </c>
      <c r="D173" s="371">
        <f>'Forecast Model'!I134</f>
        <v>1062.2541106270219</v>
      </c>
      <c r="E173" s="371">
        <f>'Forecast Model'!J134</f>
        <v>1093.5868941201732</v>
      </c>
      <c r="F173" s="371">
        <f>'Forecast Model'!K134</f>
        <v>1124.9163829561978</v>
      </c>
      <c r="G173" s="371">
        <f>'Forecast Model'!L134</f>
        <v>1279.0184324495572</v>
      </c>
      <c r="H173" s="371">
        <f>'Forecast Model'!M134</f>
        <v>1341.0410615062447</v>
      </c>
      <c r="I173" s="371">
        <f>'Forecast Model'!N134</f>
        <v>1218.9114674421796</v>
      </c>
      <c r="J173" s="371">
        <f>'Forecast Model'!O134</f>
        <v>1127.4750135238016</v>
      </c>
      <c r="K173" s="371">
        <f>'Forecast Model'!P134</f>
        <v>913.27261677604736</v>
      </c>
      <c r="L173" s="371">
        <f>'Forecast Model'!Q134</f>
        <v>1067.3713573931134</v>
      </c>
      <c r="M173" s="371">
        <f>'Forecast Model'!R134</f>
        <v>1221.4700980101786</v>
      </c>
      <c r="N173" s="371">
        <f>'Forecast Model'!S134</f>
        <v>1344.8790073582431</v>
      </c>
      <c r="O173" s="371">
        <f>SUM(C173:INDEX(C173:N173,MATCH(Outputs!$M$95,$C$163:$N$163,0)))</f>
        <v>2093.1781488308197</v>
      </c>
      <c r="P173" s="367">
        <f>INDEX(C173:N173, MATCH(Outputs!$M$95, 'Formula Audit'!$C$163:$N$163, 0))</f>
        <v>1062.2541106270219</v>
      </c>
      <c r="Q173" s="370"/>
      <c r="R173" s="370"/>
      <c r="S173" s="370"/>
      <c r="T173" s="370"/>
      <c r="U173" s="370"/>
      <c r="V173" s="370"/>
    </row>
    <row r="174" spans="1:22" x14ac:dyDescent="0.3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</row>
    <row r="175" spans="1:22" x14ac:dyDescent="0.3">
      <c r="A175" s="370" t="s">
        <v>27</v>
      </c>
      <c r="B175" s="370"/>
      <c r="C175" s="364">
        <f>'Control Center'!$F$8</f>
        <v>2025</v>
      </c>
      <c r="D175" s="364">
        <f>(C175+1)</f>
        <v>2026</v>
      </c>
      <c r="E175" s="364">
        <f>(D175+1)</f>
        <v>2027</v>
      </c>
      <c r="F175" s="364">
        <f>(E175+1)</f>
        <v>2028</v>
      </c>
      <c r="G175" s="364">
        <f>(F175+1)</f>
        <v>2029</v>
      </c>
      <c r="H175" s="364">
        <f>(G175+1)</f>
        <v>2030</v>
      </c>
      <c r="I175" s="364">
        <f>(H175+1)</f>
        <v>2031</v>
      </c>
      <c r="J175" s="364">
        <f>(I175+1)</f>
        <v>2032</v>
      </c>
      <c r="K175" s="364">
        <f>(J175+1)</f>
        <v>2033</v>
      </c>
      <c r="L175" s="364">
        <f>(K175+1)</f>
        <v>2034</v>
      </c>
      <c r="M175" s="370" t="s">
        <v>287</v>
      </c>
      <c r="N175" s="370"/>
      <c r="O175" s="370"/>
      <c r="P175" s="370"/>
      <c r="Q175" s="370"/>
      <c r="R175" s="370"/>
      <c r="S175" s="370"/>
      <c r="T175" s="370"/>
      <c r="U175" s="370"/>
      <c r="V175" s="370"/>
    </row>
    <row r="176" spans="1:22" x14ac:dyDescent="0.3">
      <c r="A176" s="370"/>
      <c r="B176" s="370" t="s">
        <v>262</v>
      </c>
      <c r="C176" s="371">
        <f>'Control Center'!E181</f>
        <v>1379</v>
      </c>
      <c r="D176" s="371">
        <f>C176*(1+'Control Center'!H28)</f>
        <v>1471.4192009999999</v>
      </c>
      <c r="E176" s="371">
        <f>D176*(1+'Control Center'!I28)</f>
        <v>1553.5964919566491</v>
      </c>
      <c r="F176" s="371">
        <f>E176*(1+'Control Center'!J28)</f>
        <v>1623.0096296207801</v>
      </c>
      <c r="G176" s="371">
        <f>F176*(1+'Control Center'!K28)</f>
        <v>1677.3966823093722</v>
      </c>
      <c r="H176" s="371">
        <f>G176*(1+'Control Center'!L28)</f>
        <v>1733.606245133559</v>
      </c>
      <c r="I176" s="371">
        <f>H176*(1+'Control Center'!M28)</f>
        <v>1772.3350086498428</v>
      </c>
      <c r="J176" s="371">
        <f>I176*(1+'Control Center'!N28)</f>
        <v>1811.9289727430803</v>
      </c>
      <c r="K176" s="371">
        <f>J176*(1+'Control Center'!O28)</f>
        <v>1852.4074659941607</v>
      </c>
      <c r="L176" s="371">
        <f>K176*(1+'Control Center'!P28)</f>
        <v>1893.7902487844704</v>
      </c>
      <c r="M176" s="371">
        <f>INDEX($C176:$L176, MATCH('Valuation &amp; Breakeven'!F80, $C$175:$L$175, 0))</f>
        <v>1553.5964919566491</v>
      </c>
      <c r="N176" s="370"/>
      <c r="O176" s="370"/>
      <c r="P176" s="370"/>
      <c r="Q176" s="370"/>
      <c r="R176" s="370"/>
      <c r="S176" s="370"/>
      <c r="T176" s="370"/>
      <c r="U176" s="370"/>
      <c r="V176" s="370"/>
    </row>
    <row r="177" spans="1:22" x14ac:dyDescent="0.3">
      <c r="A177" s="370"/>
      <c r="B177" s="370" t="s">
        <v>288</v>
      </c>
      <c r="C177" s="371">
        <f>'Valuation &amp; Breakeven'!H74*C8</f>
        <v>92884</v>
      </c>
      <c r="D177" s="371">
        <f>'Valuation &amp; Breakeven'!I74</f>
        <v>92884</v>
      </c>
      <c r="E177" s="371">
        <f>'Valuation &amp; Breakeven'!J74</f>
        <v>92884</v>
      </c>
      <c r="F177" s="371">
        <f>'Valuation &amp; Breakeven'!K74</f>
        <v>92884</v>
      </c>
      <c r="G177" s="371">
        <f>'Valuation &amp; Breakeven'!L74</f>
        <v>92884</v>
      </c>
      <c r="H177" s="371">
        <f>'Valuation &amp; Breakeven'!M74</f>
        <v>92884</v>
      </c>
      <c r="I177" s="371">
        <f>'Valuation &amp; Breakeven'!N74</f>
        <v>92884</v>
      </c>
      <c r="J177" s="371">
        <f>'Valuation &amp; Breakeven'!O74</f>
        <v>92884</v>
      </c>
      <c r="K177" s="371">
        <f>'Valuation &amp; Breakeven'!P74</f>
        <v>92884</v>
      </c>
      <c r="L177" s="371">
        <f>'Valuation &amp; Breakeven'!Q74</f>
        <v>92884</v>
      </c>
      <c r="M177" s="371">
        <f>INDEX($C177:$L177, MATCH('Valuation &amp; Breakeven'!$F$80, $C$175:$L$175, 0))</f>
        <v>92884</v>
      </c>
      <c r="N177" s="370"/>
      <c r="O177" s="370"/>
      <c r="P177" s="370"/>
      <c r="Q177" s="370"/>
      <c r="R177" s="370"/>
      <c r="S177" s="370"/>
      <c r="T177" s="370"/>
      <c r="U177" s="370"/>
      <c r="V177" s="370"/>
    </row>
    <row r="178" spans="1:22" x14ac:dyDescent="0.3">
      <c r="A178" s="370"/>
      <c r="B178" s="370" t="s">
        <v>289</v>
      </c>
      <c r="C178" s="371">
        <f>'Valuation &amp; Breakeven'!H70/C176*C8</f>
        <v>183.22194741861261</v>
      </c>
      <c r="D178" s="371">
        <f>'Valuation &amp; Breakeven'!I70/D176</f>
        <v>201.67038721917322</v>
      </c>
      <c r="E178" s="371">
        <f>'Valuation &amp; Breakeven'!J70/E176</f>
        <v>194.28879788903279</v>
      </c>
      <c r="F178" s="371">
        <f>'Valuation &amp; Breakeven'!K70/F176</f>
        <v>188.19817686611046</v>
      </c>
      <c r="G178" s="371">
        <f>'Valuation &amp; Breakeven'!L70/G176</f>
        <v>187.52364998309073</v>
      </c>
      <c r="H178" s="371">
        <f>'Valuation &amp; Breakeven'!M70/H176</f>
        <v>182.28693337120563</v>
      </c>
      <c r="I178" s="371">
        <f>'Valuation &amp; Breakeven'!N70/I176</f>
        <v>180.46543825253553</v>
      </c>
      <c r="J178" s="371">
        <f>'Valuation &amp; Breakeven'!O70/J176</f>
        <v>173.61143358802261</v>
      </c>
      <c r="K178" s="371">
        <f>'Valuation &amp; Breakeven'!P70/K176</f>
        <v>172.73562160540527</v>
      </c>
      <c r="L178" s="371">
        <f>'Valuation &amp; Breakeven'!Q70/L176</f>
        <v>170.32002800589598</v>
      </c>
      <c r="M178" s="371">
        <f>INDEX($C178:$L178, MATCH('Valuation &amp; Breakeven'!$F$80, $C$175:$L$175, 0))</f>
        <v>194.28879788903279</v>
      </c>
      <c r="N178" s="370"/>
      <c r="O178" s="370"/>
      <c r="P178" s="370"/>
      <c r="Q178" s="370"/>
      <c r="R178" s="370"/>
      <c r="S178" s="370"/>
      <c r="T178" s="370"/>
      <c r="U178" s="370"/>
      <c r="V178" s="370"/>
    </row>
    <row r="179" spans="1:22" x14ac:dyDescent="0.3">
      <c r="A179" s="370"/>
      <c r="B179" s="370" t="s">
        <v>263</v>
      </c>
      <c r="C179" s="371">
        <f>'Valuation &amp; Breakeven'!H62/'Formula Audit'!C176</f>
        <v>291.54838583321248</v>
      </c>
      <c r="D179" s="371">
        <f>'Valuation &amp; Breakeven'!I62/'Formula Audit'!D176</f>
        <v>291.54838583321248</v>
      </c>
      <c r="E179" s="371">
        <f>'Valuation &amp; Breakeven'!J62/'Formula Audit'!E176</f>
        <v>291.54838583321248</v>
      </c>
      <c r="F179" s="371">
        <f>'Valuation &amp; Breakeven'!K62/'Formula Audit'!F176</f>
        <v>291.54838583321248</v>
      </c>
      <c r="G179" s="371">
        <f>'Valuation &amp; Breakeven'!L62/'Formula Audit'!G176</f>
        <v>291.54838583321248</v>
      </c>
      <c r="H179" s="371">
        <f>'Valuation &amp; Breakeven'!M62/'Formula Audit'!H176</f>
        <v>291.54838583321254</v>
      </c>
      <c r="I179" s="371">
        <f>'Valuation &amp; Breakeven'!N62/'Formula Audit'!I176</f>
        <v>291.54838583321248</v>
      </c>
      <c r="J179" s="371">
        <f>'Valuation &amp; Breakeven'!O62/'Formula Audit'!J176</f>
        <v>291.54838583321254</v>
      </c>
      <c r="K179" s="371">
        <f>'Valuation &amp; Breakeven'!P62/'Formula Audit'!K176</f>
        <v>291.54838583321254</v>
      </c>
      <c r="L179" s="371">
        <f>'Valuation &amp; Breakeven'!Q62/'Formula Audit'!L176</f>
        <v>291.54838583321248</v>
      </c>
      <c r="M179" s="371">
        <f>INDEX($C179:$L179, MATCH('Valuation &amp; Breakeven'!$F$80, $C$175:$L$175, 0))</f>
        <v>291.54838583321248</v>
      </c>
      <c r="N179" s="370"/>
      <c r="O179" s="370"/>
      <c r="P179" s="370"/>
      <c r="Q179" s="370"/>
      <c r="R179" s="370"/>
      <c r="S179" s="370"/>
      <c r="T179" s="370"/>
      <c r="U179" s="370"/>
      <c r="V179" s="370"/>
    </row>
    <row r="180" spans="1:22" x14ac:dyDescent="0.3">
      <c r="A180" s="370"/>
      <c r="B180" s="370" t="s">
        <v>264</v>
      </c>
      <c r="C180" s="371">
        <f>'Valuation &amp; Breakeven'!H63/'Formula Audit'!C176</f>
        <v>108.32643841459986</v>
      </c>
      <c r="D180" s="371">
        <f>'Valuation &amp; Breakeven'!I63/'Formula Audit'!D176</f>
        <v>89.877998614039228</v>
      </c>
      <c r="E180" s="371">
        <f>'Valuation &amp; Breakeven'!J63/'Formula Audit'!E176</f>
        <v>97.259587944179671</v>
      </c>
      <c r="F180" s="371">
        <f>'Valuation &amp; Breakeven'!K63/'Formula Audit'!F176</f>
        <v>103.35020896710202</v>
      </c>
      <c r="G180" s="371">
        <f>'Valuation &amp; Breakeven'!L63/'Formula Audit'!G176</f>
        <v>104.02473585012176</v>
      </c>
      <c r="H180" s="371">
        <f>'Valuation &amp; Breakeven'!M63/'Formula Audit'!H176</f>
        <v>109.2614524620069</v>
      </c>
      <c r="I180" s="371">
        <f>'Valuation &amp; Breakeven'!N63/'Formula Audit'!I176</f>
        <v>111.08294758067694</v>
      </c>
      <c r="J180" s="371">
        <f>'Valuation &amp; Breakeven'!O63/'Formula Audit'!J176</f>
        <v>117.93695224518993</v>
      </c>
      <c r="K180" s="371">
        <f>'Valuation &amp; Breakeven'!P63/'Formula Audit'!K176</f>
        <v>118.81276422780724</v>
      </c>
      <c r="L180" s="371">
        <f>'Valuation &amp; Breakeven'!Q63/'Formula Audit'!L176</f>
        <v>121.22835782731651</v>
      </c>
      <c r="M180" s="371">
        <f>INDEX($C180:$L180, MATCH('Valuation &amp; Breakeven'!$F$80, $C$175:$L$175, 0))</f>
        <v>97.259587944179671</v>
      </c>
      <c r="N180" s="370"/>
      <c r="O180" s="370"/>
      <c r="P180" s="370"/>
      <c r="Q180" s="370"/>
      <c r="R180" s="370"/>
      <c r="S180" s="370"/>
      <c r="T180" s="370"/>
      <c r="U180" s="370"/>
      <c r="V180" s="370"/>
    </row>
    <row r="181" spans="1:22" x14ac:dyDescent="0.3">
      <c r="A181" s="370"/>
      <c r="B181" s="370" t="s">
        <v>257</v>
      </c>
      <c r="C181" s="368">
        <f>C180/C179</f>
        <v>0.37155561024635786</v>
      </c>
      <c r="D181" s="368">
        <f>D180/D179</f>
        <v>0.30827815546698373</v>
      </c>
      <c r="E181" s="368">
        <f>E180/E179</f>
        <v>0.33359672929151268</v>
      </c>
      <c r="F181" s="368">
        <f>F180/F179</f>
        <v>0.35448733036795504</v>
      </c>
      <c r="G181" s="368">
        <f>G180/G179</f>
        <v>0.35680093221175196</v>
      </c>
      <c r="H181" s="368">
        <f>H180/H179</f>
        <v>0.37476267326862384</v>
      </c>
      <c r="I181" s="368">
        <f>I180/I179</f>
        <v>0.38101033303001963</v>
      </c>
      <c r="J181" s="368">
        <f>J180/J179</f>
        <v>0.40451931129078067</v>
      </c>
      <c r="K181" s="368">
        <f>K180/K179</f>
        <v>0.40752331345705689</v>
      </c>
      <c r="L181" s="368">
        <f>L180/L179</f>
        <v>0.41580870866720632</v>
      </c>
      <c r="M181" s="368">
        <f>INDEX($C181:$L181, MATCH('Valuation &amp; Breakeven'!$F$80, $C$175:$L$175, 0))</f>
        <v>0.33359672929151268</v>
      </c>
      <c r="N181" s="370"/>
      <c r="O181" s="370"/>
      <c r="P181" s="370"/>
      <c r="Q181" s="370"/>
      <c r="R181" s="370"/>
      <c r="S181" s="370"/>
      <c r="T181" s="370"/>
      <c r="U181" s="370"/>
      <c r="V181" s="370"/>
    </row>
    <row r="182" spans="1:22" x14ac:dyDescent="0.3">
      <c r="A182" s="370"/>
      <c r="B182" s="370" t="s">
        <v>265</v>
      </c>
      <c r="C182" s="371">
        <f>C183/C179</f>
        <v>857.44534168568612</v>
      </c>
      <c r="D182" s="371">
        <f>D183/D179</f>
        <v>1033.445352948605</v>
      </c>
      <c r="E182" s="371">
        <f>E183/E179</f>
        <v>955.01124324430646</v>
      </c>
      <c r="F182" s="371">
        <f>F183/F179</f>
        <v>898.73064533005856</v>
      </c>
      <c r="G182" s="371">
        <f>G183/G179</f>
        <v>892.90301235493371</v>
      </c>
      <c r="H182" s="371">
        <f>H183/H179</f>
        <v>850.10768122726745</v>
      </c>
      <c r="I182" s="371">
        <f>I183/I179</f>
        <v>836.16794497229671</v>
      </c>
      <c r="J182" s="371">
        <f>J183/J179</f>
        <v>787.57334517933737</v>
      </c>
      <c r="K182" s="371">
        <f>K183/K179</f>
        <v>781.76785637196019</v>
      </c>
      <c r="L182" s="371">
        <f>L183/L179</f>
        <v>766.1903672101904</v>
      </c>
      <c r="M182" s="371">
        <f>INDEX($C182:$L182, MATCH('Valuation &amp; Breakeven'!$F$80, $C$175:$L$175, 0))</f>
        <v>955.01124324430646</v>
      </c>
      <c r="N182" s="370"/>
      <c r="O182" s="370"/>
      <c r="P182" s="370"/>
      <c r="Q182" s="370"/>
      <c r="R182" s="370"/>
      <c r="S182" s="370"/>
      <c r="T182" s="370"/>
      <c r="U182" s="370"/>
      <c r="V182" s="370"/>
    </row>
    <row r="183" spans="1:22" x14ac:dyDescent="0.3">
      <c r="A183" s="370"/>
      <c r="B183" s="370" t="s">
        <v>290</v>
      </c>
      <c r="C183" s="371">
        <f>'Valuation &amp; Breakeven'!H76</f>
        <v>249986.80530866911</v>
      </c>
      <c r="D183" s="371">
        <f>'Valuation &amp; Breakeven'!I76</f>
        <v>301299.32449900033</v>
      </c>
      <c r="E183" s="371">
        <f>'Valuation &amp; Breakeven'!J76</f>
        <v>278431.98642044701</v>
      </c>
      <c r="F183" s="371">
        <f>'Valuation &amp; Breakeven'!K76</f>
        <v>262023.46894481996</v>
      </c>
      <c r="G183" s="371">
        <f>'Valuation &amp; Breakeven'!L76</f>
        <v>260324.43195769392</v>
      </c>
      <c r="H183" s="371">
        <f>'Valuation &amp; Breakeven'!M76</f>
        <v>247847.52224622501</v>
      </c>
      <c r="I183" s="371">
        <f>'Valuation &amp; Breakeven'!N76</f>
        <v>243783.41464214755</v>
      </c>
      <c r="J183" s="371">
        <f>'Valuation &amp; Breakeven'!O76</f>
        <v>229615.73751229933</v>
      </c>
      <c r="K183" s="371">
        <f>'Valuation &amp; Breakeven'!P76</f>
        <v>227923.15662153575</v>
      </c>
      <c r="L183" s="371">
        <f>'Valuation &amp; Breakeven'!Q76</f>
        <v>223381.56480108734</v>
      </c>
      <c r="M183" s="371">
        <f>INDEX($C183:$L183, MATCH('Valuation &amp; Breakeven'!$F$80, $C$175:$L$175, 0))</f>
        <v>278431.98642044701</v>
      </c>
      <c r="N183" s="370"/>
      <c r="O183" s="370"/>
      <c r="P183" s="370"/>
      <c r="Q183" s="370"/>
      <c r="R183" s="370"/>
      <c r="S183" s="370"/>
      <c r="T183" s="370"/>
      <c r="U183" s="370"/>
      <c r="V183" s="370"/>
    </row>
    <row r="184" spans="1:22" x14ac:dyDescent="0.3">
      <c r="A184" s="370" t="s">
        <v>92</v>
      </c>
      <c r="B184" s="370"/>
      <c r="C184" s="371">
        <f>'Valuation &amp; Breakeven'!H62</f>
        <v>402045.22406400001</v>
      </c>
      <c r="D184" s="371">
        <f>'Valuation &amp; Breakeven'!I62</f>
        <v>428989.89293554518</v>
      </c>
      <c r="E184" s="371">
        <f>'Valuation &amp; Breakeven'!J62</f>
        <v>452948.5494661025</v>
      </c>
      <c r="F184" s="371">
        <f>'Valuation &amp; Breakeven'!K62</f>
        <v>473185.83770769846</v>
      </c>
      <c r="G184" s="371">
        <f>'Valuation &amp; Breakeven'!L62</f>
        <v>489042.29512928339</v>
      </c>
      <c r="H184" s="371">
        <f>'Valuation &amp; Breakeven'!M62</f>
        <v>505430.1024390657</v>
      </c>
      <c r="I184" s="371">
        <f>'Valuation &amp; Breakeven'!N62</f>
        <v>516721.41092755436</v>
      </c>
      <c r="J184" s="371">
        <f>'Valuation &amp; Breakeven'!O62</f>
        <v>528264.96724767599</v>
      </c>
      <c r="K184" s="371">
        <f>'Valuation &amp; Breakeven'!P62</f>
        <v>540066.40661598905</v>
      </c>
      <c r="L184" s="371">
        <f>'Valuation &amp; Breakeven'!Q62</f>
        <v>552131.49013979023</v>
      </c>
      <c r="M184" s="371">
        <f>INDEX($C184:$L184, MATCH('Valuation &amp; Breakeven'!$F$80, $C$175:$L$175, 0))</f>
        <v>452948.5494661025</v>
      </c>
      <c r="N184" s="370"/>
      <c r="O184" s="370"/>
      <c r="P184" s="370"/>
      <c r="Q184" s="370"/>
      <c r="R184" s="370"/>
      <c r="S184" s="370"/>
      <c r="T184" s="370"/>
      <c r="U184" s="370"/>
      <c r="V184" s="370"/>
    </row>
    <row r="185" spans="1:22" x14ac:dyDescent="0.3">
      <c r="A185" s="370" t="s">
        <v>289</v>
      </c>
      <c r="B185" s="370"/>
      <c r="C185" s="371">
        <f>C178*C176</f>
        <v>252663.0654902668</v>
      </c>
      <c r="D185" s="371">
        <f>D178*D176</f>
        <v>296741.68002739648</v>
      </c>
      <c r="E185" s="371">
        <f>E178*E176</f>
        <v>301846.39482687577</v>
      </c>
      <c r="F185" s="371">
        <f>F178*F176</f>
        <v>305447.453330772</v>
      </c>
      <c r="G185" s="371">
        <f>G178*G176</f>
        <v>314551.54833618033</v>
      </c>
      <c r="H185" s="371">
        <f>H178*H176</f>
        <v>316013.76609856705</v>
      </c>
      <c r="I185" s="371">
        <f>I178*I176</f>
        <v>319845.21406630526</v>
      </c>
      <c r="J185" s="371">
        <f>J178*J176</f>
        <v>314571.58651759929</v>
      </c>
      <c r="K185" s="371">
        <f>K178*K176</f>
        <v>319976.75510499498</v>
      </c>
      <c r="L185" s="371">
        <f>L178*L176</f>
        <v>322550.4082102637</v>
      </c>
      <c r="M185" s="371">
        <f>INDEX($C185:$L185, MATCH('Valuation &amp; Breakeven'!$F$80, $C$175:$L$175, 0))</f>
        <v>301846.39482687577</v>
      </c>
      <c r="N185" s="370"/>
      <c r="O185" s="370"/>
      <c r="P185" s="370"/>
      <c r="Q185" s="370"/>
      <c r="R185" s="370"/>
      <c r="S185" s="370"/>
      <c r="T185" s="370"/>
      <c r="U185" s="370"/>
      <c r="V185" s="370"/>
    </row>
    <row r="186" spans="1:22" x14ac:dyDescent="0.3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</row>
    <row r="187" spans="1:22" x14ac:dyDescent="0.3" ht="28.5" customHeight="1">
      <c r="A187" s="370"/>
      <c r="B187" s="370" t="s">
        <v>95</v>
      </c>
      <c r="C187" s="370" t="s">
        <v>92</v>
      </c>
      <c r="D187" s="476" t="s">
        <v>288</v>
      </c>
      <c r="E187" s="476" t="s">
        <v>291</v>
      </c>
      <c r="F187" s="370" t="s">
        <v>289</v>
      </c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</row>
    <row r="188" spans="1:22" x14ac:dyDescent="0.3">
      <c r="A188" s="371">
        <v>1</v>
      </c>
      <c r="B188" s="371">
        <f>ROUNDUP(($B$203/15)*0,-1)</f>
        <v>0</v>
      </c>
      <c r="C188" s="371">
        <f>B188*$M$179</f>
        <v>0</v>
      </c>
      <c r="D188" s="371">
        <f>$M$177</f>
        <v>92884</v>
      </c>
      <c r="E188" s="371">
        <f>F188+D188</f>
        <v>92884</v>
      </c>
      <c r="F188" s="371">
        <f>ROUNDUP(($F$203/15)*0,-1)</f>
        <v>0</v>
      </c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</row>
    <row r="189" spans="1:22" x14ac:dyDescent="0.3">
      <c r="A189" s="371">
        <v>2</v>
      </c>
      <c r="B189" s="371">
        <f>ROUNDUP(($B$203/15)*A188,-1)</f>
        <v>110</v>
      </c>
      <c r="C189" s="371">
        <f>B189*$M$179</f>
        <v>32070.322441653374</v>
      </c>
      <c r="D189" s="371">
        <f>$M$177</f>
        <v>92884</v>
      </c>
      <c r="E189" s="371">
        <f>F189+D189</f>
        <v>113014</v>
      </c>
      <c r="F189" s="371">
        <f>ROUNDUP(($F$203/15)*A188,-1)</f>
        <v>20130</v>
      </c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</row>
    <row r="190" spans="1:22" x14ac:dyDescent="0.3">
      <c r="A190" s="371">
        <v>3</v>
      </c>
      <c r="B190" s="371">
        <f>ROUNDUP(($B$203/15)*A189,-1)</f>
        <v>210</v>
      </c>
      <c r="C190" s="371">
        <f>B190*$M$179</f>
        <v>61225.161024974623</v>
      </c>
      <c r="D190" s="371">
        <f>$M$177</f>
        <v>92884</v>
      </c>
      <c r="E190" s="371">
        <f>F190+D190</f>
        <v>133134</v>
      </c>
      <c r="F190" s="371">
        <f>ROUNDUP(($F$203/15)*A189,-1)</f>
        <v>40250</v>
      </c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</row>
    <row r="191" spans="1:22" x14ac:dyDescent="0.3">
      <c r="A191" s="371">
        <v>4</v>
      </c>
      <c r="B191" s="371">
        <f>ROUNDUP(($B$203/15)*A190,-1)</f>
        <v>320</v>
      </c>
      <c r="C191" s="371">
        <f>B191*$M$179</f>
        <v>93295.483466627993</v>
      </c>
      <c r="D191" s="371">
        <f>$M$177</f>
        <v>92884</v>
      </c>
      <c r="E191" s="371">
        <f>F191+D191</f>
        <v>153254</v>
      </c>
      <c r="F191" s="371">
        <f>ROUNDUP(($F$203/15)*A190,-1)</f>
        <v>60370</v>
      </c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</row>
    <row r="192" spans="1:22" x14ac:dyDescent="0.3">
      <c r="A192" s="371">
        <v>5</v>
      </c>
      <c r="B192" s="371">
        <f>ROUNDUP(($B$203/15)*A191,-1)</f>
        <v>420</v>
      </c>
      <c r="C192" s="371">
        <f>B192*$M$179</f>
        <v>122450.32204994925</v>
      </c>
      <c r="D192" s="371">
        <f>$M$177</f>
        <v>92884</v>
      </c>
      <c r="E192" s="371">
        <f>F192+D192</f>
        <v>173384</v>
      </c>
      <c r="F192" s="371">
        <f>ROUNDUP(($F$203/15)*A191,-1)</f>
        <v>80500</v>
      </c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</row>
    <row r="193" spans="1:22" x14ac:dyDescent="0.3">
      <c r="A193" s="371">
        <v>6</v>
      </c>
      <c r="B193" s="371">
        <f>ROUNDUP(($B$203/15)*A192,-1)</f>
        <v>520</v>
      </c>
      <c r="C193" s="371">
        <f>B193*$M$179</f>
        <v>151605.16063327048</v>
      </c>
      <c r="D193" s="371">
        <f>$M$177</f>
        <v>92884</v>
      </c>
      <c r="E193" s="371">
        <f>F193+D193</f>
        <v>193504</v>
      </c>
      <c r="F193" s="371">
        <f>ROUNDUP(($F$203/15)*A192,-1)</f>
        <v>100620</v>
      </c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</row>
    <row r="194" spans="1:22" x14ac:dyDescent="0.3">
      <c r="A194" s="371">
        <v>7</v>
      </c>
      <c r="B194" s="371">
        <f>ROUNDUP(($B$203/15)*A193,-1)</f>
        <v>630</v>
      </c>
      <c r="C194" s="371">
        <f>B194*$M$179</f>
        <v>183675.48307492386</v>
      </c>
      <c r="D194" s="371">
        <f>$M$177</f>
        <v>92884</v>
      </c>
      <c r="E194" s="371">
        <f>F194+D194</f>
        <v>213624</v>
      </c>
      <c r="F194" s="371">
        <f>ROUNDUP(($F$203/15)*A193,-1)</f>
        <v>120740</v>
      </c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</row>
    <row r="195" spans="1:22" x14ac:dyDescent="0.3">
      <c r="A195" s="371">
        <v>8</v>
      </c>
      <c r="B195" s="371">
        <f>ROUNDUP(($B$203/15)*A194,-1)</f>
        <v>730</v>
      </c>
      <c r="C195" s="371">
        <f>B195*$M$179</f>
        <v>212830.32165824511</v>
      </c>
      <c r="D195" s="371">
        <f>$M$177</f>
        <v>92884</v>
      </c>
      <c r="E195" s="371">
        <f>F195+D195</f>
        <v>233754</v>
      </c>
      <c r="F195" s="371">
        <f>ROUNDUP(($F$203/15)*A194,-1)</f>
        <v>140870</v>
      </c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</row>
    <row r="196" spans="1:22" x14ac:dyDescent="0.3">
      <c r="A196" s="371">
        <v>9</v>
      </c>
      <c r="B196" s="371">
        <f>ROUNDUP(($B$203/15)*A195,-1)</f>
        <v>830</v>
      </c>
      <c r="C196" s="371">
        <f>B196*$M$179</f>
        <v>241985.16024156637</v>
      </c>
      <c r="D196" s="371">
        <f>$M$177</f>
        <v>92884</v>
      </c>
      <c r="E196" s="371">
        <f>F196+D196</f>
        <v>253874</v>
      </c>
      <c r="F196" s="371">
        <f>ROUNDUP(($F$203/15)*A195,-1)</f>
        <v>160990</v>
      </c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</row>
    <row r="197" spans="1:22" x14ac:dyDescent="0.3">
      <c r="A197" s="371">
        <v>10</v>
      </c>
      <c r="B197" s="371">
        <f>ROUNDUP(($B$203/15)*A196,-1)</f>
        <v>940</v>
      </c>
      <c r="C197" s="371">
        <f>B197*$M$179</f>
        <v>274055.48268321971</v>
      </c>
      <c r="D197" s="371">
        <f>$M$177</f>
        <v>92884</v>
      </c>
      <c r="E197" s="371">
        <f>F197+D197</f>
        <v>273994</v>
      </c>
      <c r="F197" s="371">
        <f>ROUNDUP(($F$203/15)*A196,-1)</f>
        <v>181110</v>
      </c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</row>
    <row r="198" spans="1:22" x14ac:dyDescent="0.3">
      <c r="A198" s="371">
        <v>11</v>
      </c>
      <c r="B198" s="371">
        <f>ROUNDUP(($B$203/15)*A197,-1)</f>
        <v>1040</v>
      </c>
      <c r="C198" s="371">
        <f>B198*$M$179</f>
        <v>303210.32126654097</v>
      </c>
      <c r="D198" s="371">
        <f>$M$177</f>
        <v>92884</v>
      </c>
      <c r="E198" s="371">
        <f>F198+D198</f>
        <v>294124</v>
      </c>
      <c r="F198" s="371">
        <f>ROUNDUP(($F$203/15)*A197,-1)</f>
        <v>201240</v>
      </c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</row>
    <row r="199" spans="1:22" x14ac:dyDescent="0.3">
      <c r="A199" s="371">
        <v>12</v>
      </c>
      <c r="B199" s="371">
        <f>ROUNDUP(($B$203/15)*A198,-1)</f>
        <v>1140</v>
      </c>
      <c r="C199" s="371">
        <f>B199*$M$179</f>
        <v>332365.15984986222</v>
      </c>
      <c r="D199" s="371">
        <f>$M$177</f>
        <v>92884</v>
      </c>
      <c r="E199" s="371">
        <f>F199+D199</f>
        <v>314244</v>
      </c>
      <c r="F199" s="371">
        <f>ROUNDUP(($F$203/15)*A198,-1)</f>
        <v>221360</v>
      </c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</row>
    <row r="200" spans="1:22" x14ac:dyDescent="0.3">
      <c r="A200" s="371">
        <v>13</v>
      </c>
      <c r="B200" s="371">
        <f>ROUNDUP(($B$203/15)*A199,-1)</f>
        <v>1250</v>
      </c>
      <c r="C200" s="371">
        <f>B200*$M$179</f>
        <v>364435.48229151563</v>
      </c>
      <c r="D200" s="371">
        <f>$M$177</f>
        <v>92884</v>
      </c>
      <c r="E200" s="371">
        <f>F200+D200</f>
        <v>334364</v>
      </c>
      <c r="F200" s="371">
        <f>ROUNDUP(($F$203/15)*A199,-1)</f>
        <v>241480</v>
      </c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</row>
    <row r="201" spans="1:22" x14ac:dyDescent="0.3">
      <c r="A201" s="371">
        <v>14</v>
      </c>
      <c r="B201" s="371">
        <f>ROUNDUP(($B$203/15)*A200,-1)</f>
        <v>1350</v>
      </c>
      <c r="C201" s="371">
        <f>B201*$M$179</f>
        <v>393590.32087483682</v>
      </c>
      <c r="D201" s="371">
        <f>$M$177</f>
        <v>92884</v>
      </c>
      <c r="E201" s="371">
        <f>F201+D201</f>
        <v>354494</v>
      </c>
      <c r="F201" s="371">
        <f>ROUNDUP(($F$203/15)*A200,-1)</f>
        <v>261610</v>
      </c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</row>
    <row r="202" spans="1:22" x14ac:dyDescent="0.3">
      <c r="A202" s="371">
        <v>15</v>
      </c>
      <c r="B202" s="371">
        <f>ROUNDUP(($B$203/15)*A201,-1)</f>
        <v>1460</v>
      </c>
      <c r="C202" s="371">
        <f>B202*$M$179</f>
        <v>425660.64331649023</v>
      </c>
      <c r="D202" s="371">
        <f>$M$177</f>
        <v>92884</v>
      </c>
      <c r="E202" s="371">
        <f>F202+D202</f>
        <v>374614</v>
      </c>
      <c r="F202" s="371">
        <f>ROUNDUP(($F$203/15)*A201,-1)</f>
        <v>281730</v>
      </c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</row>
    <row r="203" spans="1:22" x14ac:dyDescent="0.3">
      <c r="A203" s="371">
        <v>16</v>
      </c>
      <c r="B203" s="371">
        <f>M176</f>
        <v>1553.5964919566491</v>
      </c>
      <c r="C203" s="371">
        <f>B203*$M$179</f>
        <v>452948.5494661025</v>
      </c>
      <c r="D203" s="371">
        <f>$M$177</f>
        <v>92884</v>
      </c>
      <c r="E203" s="371">
        <f>F203+D203</f>
        <v>394730.39482687577</v>
      </c>
      <c r="F203" s="371">
        <f>M185</f>
        <v>301846.39482687577</v>
      </c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</row>
    <row r="204" spans="1:22" x14ac:dyDescent="0.3">
      <c r="A204" s="370"/>
      <c r="B204" s="370"/>
      <c r="C204" s="370"/>
      <c r="D204" s="370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</row>
    <row r="205" spans="1:22" x14ac:dyDescent="0.3">
      <c r="A205" s="370" t="s">
        <v>292</v>
      </c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</row>
    <row r="206" spans="1:22" x14ac:dyDescent="0.3" ht="28.5" customHeight="1">
      <c r="A206" s="370"/>
      <c r="B206" s="376" t="s">
        <v>94</v>
      </c>
      <c r="C206" s="376" t="s">
        <v>293</v>
      </c>
      <c r="D206" s="476" t="s">
        <v>166</v>
      </c>
      <c r="E206" s="370" t="s">
        <v>293</v>
      </c>
      <c r="F206" s="476" t="s">
        <v>194</v>
      </c>
      <c r="G206" s="370" t="s">
        <v>293</v>
      </c>
      <c r="H206" s="476" t="s">
        <v>168</v>
      </c>
      <c r="I206" s="370" t="s">
        <v>293</v>
      </c>
      <c r="J206" s="476" t="s">
        <v>180</v>
      </c>
      <c r="K206" s="370" t="s">
        <v>293</v>
      </c>
      <c r="L206" s="476" t="s">
        <v>181</v>
      </c>
      <c r="M206" s="370" t="s">
        <v>293</v>
      </c>
      <c r="N206" s="370" t="s">
        <v>197</v>
      </c>
      <c r="O206" s="370"/>
      <c r="P206" s="370"/>
      <c r="Q206" s="370"/>
      <c r="R206" s="370"/>
      <c r="S206" s="370"/>
      <c r="T206" s="370"/>
      <c r="U206" s="370"/>
      <c r="V206" s="370"/>
    </row>
    <row r="207" spans="1:22" x14ac:dyDescent="0.3">
      <c r="A207" s="370"/>
      <c r="B207" s="377" t="s">
        <v>294</v>
      </c>
      <c r="C207" s="377">
        <v>20</v>
      </c>
      <c r="D207" s="378">
        <f>INDEX('Formula Audit'!$C$216:$L$216, MATCH(Outputs!$F$162, $C$175:$L$175, 0))*100</f>
        <v>44.574369739491566</v>
      </c>
      <c r="E207" s="371">
        <v>10</v>
      </c>
      <c r="F207" s="371">
        <f>INDEX('Formula Audit'!C217:L217, MATCH(Outputs!$F$162, $C$175:$L$175, 0))*100</f>
        <v>14.052687407310049</v>
      </c>
      <c r="G207" s="371">
        <v>5</v>
      </c>
      <c r="H207" s="371">
        <f>INDEX('Formula Audit'!$C$219:$L$219, MATCH(Outputs!$F$162, $C$175:$L$175, 0))*100</f>
        <v>9.5456540489772124</v>
      </c>
      <c r="I207" s="371">
        <v>10</v>
      </c>
      <c r="J207" s="371">
        <f>IFERROR(INDEX('Formula Audit'!C222:L222, MATCH(Outputs!$F$162, $C$175:$L$175, 0))*10,0)</f>
        <v>0</v>
      </c>
      <c r="K207" s="371">
        <v>10</v>
      </c>
      <c r="L207" s="371">
        <f>IFERROR(INDEX('Formula Audit'!$C$223:$L$223, MATCH(Outputs!$F$162, $C$175:$L$175, 0))*10,0)</f>
        <v>0</v>
      </c>
      <c r="M207" s="371">
        <v>10</v>
      </c>
      <c r="N207" s="371">
        <f>IFERROR(INDEX('Formula Audit'!C224:L224, MATCH(Outputs!$F$162, $C$175:$L$175, 0))*10,0)</f>
        <v>0</v>
      </c>
      <c r="O207" s="370"/>
      <c r="P207" s="370"/>
      <c r="Q207" s="370"/>
      <c r="R207" s="370"/>
      <c r="S207" s="370"/>
      <c r="T207" s="370"/>
      <c r="U207" s="370"/>
      <c r="V207" s="370"/>
    </row>
    <row r="208" spans="1:22" x14ac:dyDescent="0.3">
      <c r="A208" s="370"/>
      <c r="B208" s="377" t="s">
        <v>295</v>
      </c>
      <c r="C208" s="377">
        <v>20</v>
      </c>
      <c r="D208" s="371">
        <v>2</v>
      </c>
      <c r="E208" s="371">
        <v>10</v>
      </c>
      <c r="F208" s="371">
        <v>2</v>
      </c>
      <c r="G208" s="371">
        <v>10</v>
      </c>
      <c r="H208" s="371">
        <v>2</v>
      </c>
      <c r="I208" s="371">
        <v>20</v>
      </c>
      <c r="J208" s="371">
        <v>2</v>
      </c>
      <c r="K208" s="371">
        <v>5</v>
      </c>
      <c r="L208" s="371">
        <v>2</v>
      </c>
      <c r="M208" s="371">
        <v>5</v>
      </c>
      <c r="N208" s="371">
        <v>2</v>
      </c>
      <c r="O208" s="370"/>
      <c r="P208" s="370"/>
      <c r="Q208" s="370"/>
      <c r="R208" s="370"/>
      <c r="S208" s="370"/>
      <c r="T208" s="370"/>
      <c r="U208" s="370"/>
      <c r="V208" s="370"/>
    </row>
    <row r="209" spans="1:22" x14ac:dyDescent="0.3">
      <c r="A209" s="370"/>
      <c r="B209" s="377" t="s">
        <v>296</v>
      </c>
      <c r="C209" s="377">
        <v>60</v>
      </c>
      <c r="D209" s="379">
        <f>D210-D207-D208</f>
        <v>53.425630260508434</v>
      </c>
      <c r="E209" s="371">
        <v>80</v>
      </c>
      <c r="F209" s="379">
        <f>F210-F207-F208</f>
        <v>83.947312592689954</v>
      </c>
      <c r="G209" s="371">
        <v>85</v>
      </c>
      <c r="H209" s="379">
        <f>H210-H207-H208</f>
        <v>88.454345951022788</v>
      </c>
      <c r="I209" s="371">
        <v>70</v>
      </c>
      <c r="J209" s="379">
        <f>J210-J207-J208</f>
        <v>98</v>
      </c>
      <c r="K209" s="371">
        <v>85</v>
      </c>
      <c r="L209" s="379">
        <f>L210-L207-L208</f>
        <v>98</v>
      </c>
      <c r="M209" s="371">
        <v>85</v>
      </c>
      <c r="N209" s="379">
        <f>N210-N207-N208</f>
        <v>98</v>
      </c>
      <c r="O209" s="370"/>
      <c r="P209" s="370"/>
      <c r="Q209" s="370"/>
      <c r="R209" s="370"/>
      <c r="S209" s="370"/>
      <c r="T209" s="370"/>
      <c r="U209" s="370"/>
      <c r="V209" s="370"/>
    </row>
    <row r="210" spans="1:22" x14ac:dyDescent="0.3">
      <c r="A210" s="370"/>
      <c r="B210" s="377" t="s">
        <v>252</v>
      </c>
      <c r="C210" s="377">
        <v>100</v>
      </c>
      <c r="D210" s="371">
        <v>100</v>
      </c>
      <c r="E210" s="371">
        <v>100</v>
      </c>
      <c r="F210" s="371">
        <v>100</v>
      </c>
      <c r="G210" s="371">
        <v>100</v>
      </c>
      <c r="H210" s="371">
        <v>100</v>
      </c>
      <c r="I210" s="371">
        <v>100</v>
      </c>
      <c r="J210" s="371">
        <v>100</v>
      </c>
      <c r="K210" s="371">
        <v>100</v>
      </c>
      <c r="L210" s="371">
        <v>100</v>
      </c>
      <c r="M210" s="371">
        <v>100</v>
      </c>
      <c r="N210" s="371">
        <v>100</v>
      </c>
      <c r="O210" s="370"/>
      <c r="P210" s="370"/>
      <c r="Q210" s="370"/>
      <c r="R210" s="370"/>
      <c r="S210" s="370"/>
      <c r="T210" s="370"/>
      <c r="U210" s="370"/>
      <c r="V210" s="370"/>
    </row>
    <row r="211" spans="1:22" x14ac:dyDescent="0.3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</row>
    <row r="212" spans="1:22" x14ac:dyDescent="0.3">
      <c r="A212" s="370" t="s">
        <v>192</v>
      </c>
      <c r="B212" s="370"/>
      <c r="C212" s="380">
        <f>'Formula Audit'!C9</f>
        <v>2025</v>
      </c>
      <c r="D212" s="380">
        <f>'Formula Audit'!D9</f>
        <v>2026</v>
      </c>
      <c r="E212" s="380">
        <f>'Formula Audit'!E9</f>
        <v>2027</v>
      </c>
      <c r="F212" s="380">
        <f>'Formula Audit'!F9</f>
        <v>2028</v>
      </c>
      <c r="G212" s="380">
        <f>'Formula Audit'!G9</f>
        <v>2029</v>
      </c>
      <c r="H212" s="380">
        <f>'Formula Audit'!H9</f>
        <v>2030</v>
      </c>
      <c r="I212" s="380">
        <f>'Formula Audit'!I9</f>
        <v>2031</v>
      </c>
      <c r="J212" s="380">
        <f>'Formula Audit'!J9</f>
        <v>2032</v>
      </c>
      <c r="K212" s="380">
        <f>'Formula Audit'!K9</f>
        <v>2033</v>
      </c>
      <c r="L212" s="380">
        <f>'Formula Audit'!L9</f>
        <v>2034</v>
      </c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</row>
    <row r="213" spans="1:22" x14ac:dyDescent="0.3">
      <c r="A213" s="370" t="s">
        <v>173</v>
      </c>
      <c r="B213" s="370"/>
      <c r="C213" s="368">
        <f>IFERROR('Forecast Model'!H245/'Forecast Model'!H273,"")</f>
        <v>0.30592763530561862</v>
      </c>
      <c r="D213" s="368">
        <f>IFERROR('Forecast Model'!I245/'Forecast Model'!I273,"")</f>
        <v>0.1757045300933002</v>
      </c>
      <c r="E213" s="368">
        <f>IFERROR('Forecast Model'!J245/'Forecast Model'!J273,"")</f>
        <v>0.22050135065806914</v>
      </c>
      <c r="F213" s="368">
        <f>IFERROR('Forecast Model'!K245/'Forecast Model'!K273,"")</f>
        <v>0.23215023611848973</v>
      </c>
      <c r="G213" s="368">
        <f>IFERROR('Forecast Model'!L245/'Forecast Model'!L273,"")</f>
        <v>0.20969613046651525</v>
      </c>
      <c r="H213" s="368">
        <f>IFERROR('Forecast Model'!M245/'Forecast Model'!M273,"")</f>
        <v>0.20648262281474497</v>
      </c>
      <c r="I213" s="368">
        <f>IFERROR('Forecast Model'!N245/'Forecast Model'!N273,"")</f>
        <v>0.18791432360345559</v>
      </c>
      <c r="J213" s="368">
        <f>IFERROR('Forecast Model'!O245/'Forecast Model'!O273,"")</f>
        <v>0.18507613157704153</v>
      </c>
      <c r="K213" s="368">
        <f>IFERROR('Forecast Model'!P245/'Forecast Model'!P273,"")</f>
        <v>0.16768551095670137</v>
      </c>
      <c r="L213" s="368">
        <f>IFERROR('Forecast Model'!Q245/'Forecast Model'!Q273,"")</f>
        <v>0.15672221009069623</v>
      </c>
      <c r="M213" s="371" t="str">
        <f>IFERROR('Forecast Model'!O444/'Forecast Model'!O472,"")</f>
        <v/>
      </c>
      <c r="N213" s="371" t="str">
        <f>IFERROR('Forecast Model'!P444/'Forecast Model'!P472,"")</f>
        <v/>
      </c>
      <c r="O213" s="371" t="str">
        <f>IFERROR('Forecast Model'!Q444/'Forecast Model'!Q472,"")</f>
        <v/>
      </c>
      <c r="P213" s="370"/>
      <c r="Q213" s="370"/>
      <c r="R213" s="370"/>
      <c r="S213" s="370"/>
      <c r="T213" s="370"/>
      <c r="U213" s="370"/>
      <c r="V213" s="370"/>
    </row>
    <row r="214" spans="1:22" x14ac:dyDescent="0.3">
      <c r="A214" s="370" t="s">
        <v>193</v>
      </c>
      <c r="B214" s="370"/>
      <c r="C214" s="368">
        <f>IFERROR('Forecast Model'!H245/'Forecast Model'!H258,"")</f>
        <v>0.20113072039231675</v>
      </c>
      <c r="D214" s="368">
        <f>IFERROR('Forecast Model'!I245/'Forecast Model'!I258,"")</f>
        <v>9.6843086063542458E-2</v>
      </c>
      <c r="E214" s="368">
        <f>IFERROR('Forecast Model'!J245/'Forecast Model'!J258,"")</f>
        <v>0.1342449390985683</v>
      </c>
      <c r="F214" s="368">
        <f>IFERROR('Forecast Model'!K245/'Forecast Model'!K258,"")</f>
        <v>0.15504609413225429</v>
      </c>
      <c r="G214" s="368">
        <f>IFERROR('Forecast Model'!L245/'Forecast Model'!L258,"")</f>
        <v>0.15029333710736631</v>
      </c>
      <c r="H214" s="368">
        <f>IFERROR('Forecast Model'!M245/'Forecast Model'!M258,"")</f>
        <v>0.15884686409932011</v>
      </c>
      <c r="I214" s="368">
        <f>IFERROR('Forecast Model'!N245/'Forecast Model'!N258,"")</f>
        <v>0.15134580051014793</v>
      </c>
      <c r="J214" s="368">
        <f>IFERROR('Forecast Model'!O245/'Forecast Model'!O258,"")</f>
        <v>0.15528238331965072</v>
      </c>
      <c r="K214" s="368">
        <f>IFERROR('Forecast Model'!P245/'Forecast Model'!P258,"")</f>
        <v>0.14491937861061824</v>
      </c>
      <c r="L214" s="368">
        <f>IFERROR('Forecast Model'!Q245/'Forecast Model'!Q258,"")</f>
        <v>0.13879048783774989</v>
      </c>
      <c r="M214" s="371" t="str">
        <f>IFERROR('Forecast Model'!O444/'Forecast Model'!O457,"")</f>
        <v/>
      </c>
      <c r="N214" s="371" t="str">
        <f>IFERROR('Forecast Model'!P444/'Forecast Model'!P457,"")</f>
        <v/>
      </c>
      <c r="O214" s="371" t="str">
        <f>IFERROR('Forecast Model'!Q444/'Forecast Model'!Q457,"")</f>
        <v/>
      </c>
      <c r="P214" s="370"/>
      <c r="Q214" s="370"/>
      <c r="R214" s="370"/>
      <c r="S214" s="370"/>
      <c r="T214" s="370"/>
      <c r="U214" s="370"/>
      <c r="V214" s="370"/>
    </row>
    <row r="215" spans="1:22" x14ac:dyDescent="0.3">
      <c r="A215" s="370" t="s">
        <v>174</v>
      </c>
      <c r="B215" s="370"/>
      <c r="C215" s="368">
        <f>IFERROR(('Forecast Model'!H238*(1-'Control Center'!G38))/('Forecast Model'!H258-'Forecast Model'!H263),"")</f>
        <v>0.21767949324155381</v>
      </c>
      <c r="D215" s="368">
        <f>IFERROR(('Forecast Model'!I238*(1-'Control Center'!H38))/('Forecast Model'!I258-'Forecast Model'!I263),"")</f>
        <v>0.13956250687109248</v>
      </c>
      <c r="E215" s="368">
        <f>IFERROR(('Forecast Model'!J238*(1-'Control Center'!I38))/('Forecast Model'!J258-'Forecast Model'!J263),"")</f>
        <v>0.18142553101112882</v>
      </c>
      <c r="F215" s="368">
        <f>IFERROR(('Forecast Model'!K238*(1-'Control Center'!J38))/('Forecast Model'!K258-'Forecast Model'!K263),"")</f>
        <v>0.2000509928073686</v>
      </c>
      <c r="G215" s="368">
        <f>IFERROR(('Forecast Model'!L238*(1-'Control Center'!K38))/('Forecast Model'!L258-'Forecast Model'!L263),"")</f>
        <v>0.18825168391868566</v>
      </c>
      <c r="H215" s="368">
        <f>IFERROR(('Forecast Model'!M238*(1-'Control Center'!L38))/('Forecast Model'!M258-'Forecast Model'!M263),"")</f>
        <v>0.19084711348434899</v>
      </c>
      <c r="I215" s="368">
        <f>IFERROR(('Forecast Model'!N238*(1-'Control Center'!M38))/('Forecast Model'!N258-'Forecast Model'!N263),"")</f>
        <v>0.17783704378169002</v>
      </c>
      <c r="J215" s="368">
        <f>IFERROR(('Forecast Model'!O238*(1-'Control Center'!N38))/('Forecast Model'!O258-'Forecast Model'!O263),"")</f>
        <v>0.17810305807441401</v>
      </c>
      <c r="K215" s="368">
        <f>IFERROR(('Forecast Model'!P238*(1-'Control Center'!O38))/('Forecast Model'!P258-'Forecast Model'!P263),"")</f>
        <v>0.16358811243658733</v>
      </c>
      <c r="L215" s="368">
        <f>IFERROR(('Forecast Model'!Q238*(1-'Control Center'!P38))/('Forecast Model'!Q258-'Forecast Model'!Q263),"")</f>
        <v>0.15441628396899096</v>
      </c>
      <c r="M215" s="371" t="str">
        <f>IFERROR(('Forecast Model'!O437*(1-'Control Center'!N237))/('Forecast Model'!O457-'Forecast Model'!O462),"")</f>
        <v/>
      </c>
      <c r="N215" s="371" t="str">
        <f>IFERROR(('Forecast Model'!P437*(1-'Control Center'!O237))/('Forecast Model'!P457-'Forecast Model'!P462),"")</f>
        <v/>
      </c>
      <c r="O215" s="371" t="str">
        <f>IFERROR(('Forecast Model'!Q437*(1-'Control Center'!P237))/('Forecast Model'!Q457-'Forecast Model'!Q462),"")</f>
        <v/>
      </c>
      <c r="P215" s="370"/>
      <c r="Q215" s="370"/>
      <c r="R215" s="370"/>
      <c r="S215" s="370"/>
      <c r="T215" s="370"/>
      <c r="U215" s="370"/>
      <c r="V215" s="370"/>
    </row>
    <row r="216" spans="1:22" x14ac:dyDescent="0.3">
      <c r="A216" s="370" t="s">
        <v>166</v>
      </c>
      <c r="B216" s="370"/>
      <c r="C216" s="368">
        <f>'Forecast Model'!H228</f>
        <v>0.44574369739491565</v>
      </c>
      <c r="D216" s="368">
        <f>'Forecast Model'!I228</f>
        <v>0.38117024244903086</v>
      </c>
      <c r="E216" s="368">
        <f>'Forecast Model'!J228</f>
        <v>0.40134659860307065</v>
      </c>
      <c r="F216" s="368">
        <f>'Forecast Model'!K228</f>
        <v>0.42225975654417308</v>
      </c>
      <c r="G216" s="368">
        <f>'Forecast Model'!L228</f>
        <v>0.42663143462119307</v>
      </c>
      <c r="H216" s="368">
        <f>'Forecast Model'!M228</f>
        <v>0.44754511225773974</v>
      </c>
      <c r="I216" s="368">
        <f>'Forecast Model'!N228</f>
        <v>0.44754511225773974</v>
      </c>
      <c r="J216" s="368">
        <f>'Forecast Model'!O228</f>
        <v>0.46845927019884215</v>
      </c>
      <c r="K216" s="368">
        <f>'Forecast Model'!P228</f>
        <v>0.46845927019884226</v>
      </c>
      <c r="L216" s="368">
        <f>'Forecast Model'!Q228</f>
        <v>0.47356875006292476</v>
      </c>
      <c r="M216" s="371">
        <f>'Forecast Model'!O427</f>
        <v>0</v>
      </c>
      <c r="N216" s="371">
        <f>'Forecast Model'!P427</f>
        <v>0</v>
      </c>
      <c r="O216" s="371">
        <f>'Forecast Model'!Q427</f>
        <v>0</v>
      </c>
      <c r="P216" s="370"/>
      <c r="Q216" s="370"/>
      <c r="R216" s="370"/>
      <c r="S216" s="370"/>
      <c r="T216" s="370"/>
      <c r="U216" s="370"/>
      <c r="V216" s="370"/>
    </row>
    <row r="217" spans="1:22" x14ac:dyDescent="0.3">
      <c r="A217" s="370" t="s">
        <v>194</v>
      </c>
      <c r="B217" s="370"/>
      <c r="C217" s="368">
        <f>'Forecast Model'!H239</f>
        <v>0.14052687407310049</v>
      </c>
      <c r="D217" s="368">
        <f>'Forecast Model'!I239</f>
        <v>9.1760233880529063E-2</v>
      </c>
      <c r="E217" s="368">
        <f>'Forecast Model'!J239</f>
        <v>0.12853149592343194</v>
      </c>
      <c r="F217" s="368">
        <f>'Forecast Model'!K239</f>
        <v>0.15819235998175904</v>
      </c>
      <c r="G217" s="368">
        <f>'Forecast Model'!L239</f>
        <v>0.16687052961652218</v>
      </c>
      <c r="H217" s="368">
        <f>'Forecast Model'!M239</f>
        <v>0.19099047697131674</v>
      </c>
      <c r="I217" s="368">
        <f>'Forecast Model'!N239</f>
        <v>0.20125389554610321</v>
      </c>
      <c r="J217" s="368">
        <f>'Forecast Model'!O239</f>
        <v>0.228690880940881</v>
      </c>
      <c r="K217" s="368">
        <f>'Forecast Model'!P239</f>
        <v>0.23553705609659012</v>
      </c>
      <c r="L217" s="368">
        <f>'Forecast Model'!Q239</f>
        <v>0.24758066578473392</v>
      </c>
      <c r="M217" s="371">
        <f>'Forecast Model'!O438</f>
        <v>0</v>
      </c>
      <c r="N217" s="371">
        <f>'Forecast Model'!P438</f>
        <v>0</v>
      </c>
      <c r="O217" s="371">
        <f>'Forecast Model'!Q438</f>
        <v>0</v>
      </c>
      <c r="P217" s="370"/>
      <c r="Q217" s="370"/>
      <c r="R217" s="370"/>
      <c r="S217" s="370"/>
      <c r="T217" s="370"/>
      <c r="U217" s="370"/>
      <c r="V217" s="370"/>
    </row>
    <row r="218" spans="1:22" x14ac:dyDescent="0.3">
      <c r="A218" s="370" t="s">
        <v>195</v>
      </c>
      <c r="B218" s="370"/>
      <c r="C218" s="368">
        <f>IFERROR('Valuation &amp; Breakeven'!K14/Outputs!E9,"")</f>
        <v>0.12767998271058961</v>
      </c>
      <c r="D218" s="368">
        <f>IFERROR('Valuation &amp; Breakeven'!L14/Outputs!F9,"")</f>
        <v>9.0242808489001777E-2</v>
      </c>
      <c r="E218" s="368">
        <f>IFERROR('Valuation &amp; Breakeven'!M14/Outputs!G9,"")</f>
        <v>0.11749594305307755</v>
      </c>
      <c r="F218" s="368">
        <f>IFERROR('Valuation &amp; Breakeven'!N14/Outputs!H9,"")</f>
        <v>0.13903629694648517</v>
      </c>
      <c r="G218" s="368">
        <f>IFERROR('Valuation &amp; Breakeven'!O14/Outputs!I9,"")</f>
        <v>0.14722480886192696</v>
      </c>
      <c r="H218" s="368">
        <f>IFERROR('Valuation &amp; Breakeven'!P14/Outputs!J9,"")</f>
        <v>0.16767361433859854</v>
      </c>
      <c r="I218" s="368">
        <f>IFERROR('Valuation &amp; Breakeven'!Q14/Outputs!K9,"")</f>
        <v>0.17446268764780712</v>
      </c>
      <c r="J218" s="368">
        <f>IFERROR('Valuation &amp; Breakeven'!R14/Outputs!L9,"")</f>
        <v>0.19183845562447838</v>
      </c>
      <c r="K218" s="368">
        <f>IFERROR('Valuation &amp; Breakeven'!S14/Outputs!M9,"")</f>
        <v>0.19367554201003667</v>
      </c>
      <c r="L218" s="368">
        <f>IFERROR('Valuation &amp; Breakeven'!T14/Outputs!N9,"")</f>
        <v>0.19916959500898351</v>
      </c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</row>
    <row r="219" spans="1:22" x14ac:dyDescent="0.3">
      <c r="A219" s="370" t="s">
        <v>168</v>
      </c>
      <c r="B219" s="370"/>
      <c r="C219" s="368">
        <f>'Forecast Model'!H246</f>
        <v>9.5456540489772118E-2</v>
      </c>
      <c r="D219" s="368">
        <f>'Forecast Model'!I246</f>
        <v>6.0408875014654966E-2</v>
      </c>
      <c r="E219" s="368">
        <f>'Forecast Model'!J246</f>
        <v>8.8376323092154818E-2</v>
      </c>
      <c r="F219" s="368">
        <f>'Forecast Model'!K246</f>
        <v>0.11098107178706537</v>
      </c>
      <c r="G219" s="368">
        <f>'Forecast Model'!L246</f>
        <v>0.11805345440771164</v>
      </c>
      <c r="H219" s="368">
        <f>'Forecast Model'!M246</f>
        <v>0.13643879049562113</v>
      </c>
      <c r="I219" s="368">
        <f>'Forecast Model'!N246</f>
        <v>0.144563123758599</v>
      </c>
      <c r="J219" s="368">
        <f>'Forecast Model'!O246</f>
        <v>0.16528947041075709</v>
      </c>
      <c r="K219" s="368">
        <f>'Forecast Model'!P246</f>
        <v>0.17085549100563568</v>
      </c>
      <c r="L219" s="368">
        <f>'Forecast Model'!Q246</f>
        <v>0.18022055142712062</v>
      </c>
      <c r="M219" s="371">
        <f>'Forecast Model'!O445</f>
        <v>0</v>
      </c>
      <c r="N219" s="371">
        <f>'Forecast Model'!P445</f>
        <v>0</v>
      </c>
      <c r="O219" s="371">
        <f>'Forecast Model'!Q445</f>
        <v>0</v>
      </c>
      <c r="P219" s="370"/>
      <c r="Q219" s="370"/>
      <c r="R219" s="370"/>
      <c r="S219" s="370"/>
      <c r="T219" s="370"/>
      <c r="U219" s="370"/>
      <c r="V219" s="370"/>
    </row>
    <row r="220" spans="1:22" x14ac:dyDescent="0.3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</row>
    <row r="221" spans="1:22" x14ac:dyDescent="0.3">
      <c r="A221" s="370" t="s">
        <v>196</v>
      </c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</row>
    <row r="222" spans="1:22" x14ac:dyDescent="0.3">
      <c r="A222" s="370" t="s">
        <v>180</v>
      </c>
      <c r="B222" s="370"/>
      <c r="C222" s="369" t="str">
        <f>IFERROR('Forecast Model'!H253/'Forecast Model'!H263,"")</f>
        <v/>
      </c>
      <c r="D222" s="369">
        <f>IFERROR('Forecast Model'!I253/'Forecast Model'!I263,"")</f>
        <v>4.2386077059711615</v>
      </c>
      <c r="E222" s="369">
        <f>IFERROR('Forecast Model'!J253/'Forecast Model'!J263,"")</f>
        <v>4.5744264331731754</v>
      </c>
      <c r="F222" s="369">
        <f>IFERROR('Forecast Model'!K253/'Forecast Model'!K263,"")</f>
        <v>5.1049565601814955</v>
      </c>
      <c r="G222" s="369">
        <f>IFERROR('Forecast Model'!L253/'Forecast Model'!L263,"")</f>
        <v>5.6282486349274556</v>
      </c>
      <c r="H222" s="369">
        <f>IFERROR('Forecast Model'!M253/'Forecast Model'!M263,"")</f>
        <v>6.6748948478958265</v>
      </c>
      <c r="I222" s="369">
        <f>IFERROR('Forecast Model'!N253/'Forecast Model'!N263,"")</f>
        <v>7.4623415121546079</v>
      </c>
      <c r="J222" s="369">
        <f>IFERROR('Forecast Model'!O253/'Forecast Model'!O263,"")</f>
        <v>8.5701335737049096</v>
      </c>
      <c r="K222" s="369">
        <f>IFERROR('Forecast Model'!P253/'Forecast Model'!P263,"")</f>
        <v>9.5560509622805636</v>
      </c>
      <c r="L222" s="369">
        <f>IFERROR('Forecast Model'!Q253/'Forecast Model'!Q263,"")</f>
        <v>10.644981584673257</v>
      </c>
      <c r="M222" s="371" t="str">
        <f>IFERROR('Forecast Model'!O452/'Forecast Model'!O462,"")</f>
        <v/>
      </c>
      <c r="N222" s="371" t="str">
        <f>IFERROR('Forecast Model'!P452/'Forecast Model'!P462,"")</f>
        <v/>
      </c>
      <c r="O222" s="371" t="str">
        <f>IFERROR('Forecast Model'!Q452/'Forecast Model'!Q462,"")</f>
        <v/>
      </c>
      <c r="P222" s="370"/>
      <c r="Q222" s="370"/>
      <c r="R222" s="370"/>
      <c r="S222" s="370"/>
      <c r="T222" s="370"/>
      <c r="U222" s="370"/>
      <c r="V222" s="370"/>
    </row>
    <row r="223" spans="1:22" x14ac:dyDescent="0.3">
      <c r="A223" s="370" t="s">
        <v>181</v>
      </c>
      <c r="B223" s="370"/>
      <c r="C223" s="369" t="str">
        <f>IFERROR(('Forecast Model'!H250+'Forecast Model'!H251)/'Forecast Model'!H263,"")</f>
        <v/>
      </c>
      <c r="D223" s="369">
        <f>IFERROR(('Forecast Model'!I250+'Forecast Model'!I251)/'Forecast Model'!I263,"")</f>
        <v>3.4417297134193241</v>
      </c>
      <c r="E223" s="369">
        <f>IFERROR(('Forecast Model'!J250+'Forecast Model'!J251)/'Forecast Model'!J263,"")</f>
        <v>3.7871032652103698</v>
      </c>
      <c r="F223" s="369">
        <f>IFERROR(('Forecast Model'!K250+'Forecast Model'!K251)/'Forecast Model'!K263,"")</f>
        <v>4.2691145046890604</v>
      </c>
      <c r="G223" s="369">
        <f>IFERROR(('Forecast Model'!L250+'Forecast Model'!L251)/'Forecast Model'!L263,"")</f>
        <v>4.7947963378001619</v>
      </c>
      <c r="H223" s="369">
        <f>IFERROR(('Forecast Model'!M250+'Forecast Model'!M251)/'Forecast Model'!M263,"")</f>
        <v>5.8027268903879952</v>
      </c>
      <c r="I223" s="369">
        <f>IFERROR(('Forecast Model'!N250+'Forecast Model'!N251)/'Forecast Model'!N263,"")</f>
        <v>6.5287532759490423</v>
      </c>
      <c r="J223" s="369">
        <f>IFERROR(('Forecast Model'!O250+'Forecast Model'!O251)/'Forecast Model'!O263,"")</f>
        <v>7.6513798609132602</v>
      </c>
      <c r="K223" s="369">
        <f>IFERROR(('Forecast Model'!P250+'Forecast Model'!P251)/'Forecast Model'!P263,"")</f>
        <v>8.5768529262789368</v>
      </c>
      <c r="L223" s="369">
        <f>IFERROR(('Forecast Model'!Q250+'Forecast Model'!Q251)/'Forecast Model'!Q263,"")</f>
        <v>9.6697565119681173</v>
      </c>
      <c r="M223" s="371" t="str">
        <f>IFERROR(('Forecast Model'!O449+'Forecast Model'!O450)/'Forecast Model'!O462,"")</f>
        <v/>
      </c>
      <c r="N223" s="371" t="str">
        <f>IFERROR(('Forecast Model'!P449+'Forecast Model'!P450)/'Forecast Model'!P462,"")</f>
        <v/>
      </c>
      <c r="O223" s="371" t="str">
        <f>IFERROR(('Forecast Model'!Q449+'Forecast Model'!Q450)/'Forecast Model'!Q462,"")</f>
        <v/>
      </c>
      <c r="P223" s="370"/>
      <c r="Q223" s="370"/>
      <c r="R223" s="370"/>
      <c r="S223" s="370"/>
      <c r="T223" s="370"/>
      <c r="U223" s="370"/>
      <c r="V223" s="370"/>
    </row>
    <row r="224" spans="1:22" x14ac:dyDescent="0.3">
      <c r="A224" s="370" t="s">
        <v>197</v>
      </c>
      <c r="B224" s="370"/>
      <c r="C224" s="369" t="str">
        <f>IFERROR('Forecast Model'!H287/'Forecast Model'!H263,"")</f>
        <v/>
      </c>
      <c r="D224" s="369">
        <f>IFERROR('Forecast Model'!I287/'Forecast Model'!I263,"")</f>
        <v>5.5587244358476819E-2</v>
      </c>
      <c r="E224" s="369">
        <f>IFERROR('Forecast Model'!J287/'Forecast Model'!J263,"")</f>
        <v>0.77127040472182018</v>
      </c>
      <c r="F224" s="369">
        <f>IFERROR('Forecast Model'!K287/'Forecast Model'!K263,"")</f>
        <v>0.90402845028518741</v>
      </c>
      <c r="G224" s="369">
        <f>IFERROR('Forecast Model'!L287/'Forecast Model'!L263,"")</f>
        <v>1.0355716058861639</v>
      </c>
      <c r="H224" s="369">
        <f>IFERROR('Forecast Model'!M287/'Forecast Model'!M263,"")</f>
        <v>1.3543054856582084</v>
      </c>
      <c r="I224" s="369">
        <f>IFERROR('Forecast Model'!N287/'Forecast Model'!N263,"")</f>
        <v>1.304305106548038</v>
      </c>
      <c r="J224" s="369">
        <f>IFERROR('Forecast Model'!O287/'Forecast Model'!O263,"")</f>
        <v>1.5593658925477092</v>
      </c>
      <c r="K224" s="369">
        <f>IFERROR('Forecast Model'!P287/'Forecast Model'!P263,"")</f>
        <v>1.5071622149991029</v>
      </c>
      <c r="L224" s="369">
        <f>IFERROR('Forecast Model'!Q287/'Forecast Model'!Q263,"")</f>
        <v>1.6305931407892642</v>
      </c>
      <c r="M224" s="371" t="str">
        <f>IFERROR('Forecast Model'!O486/'Forecast Model'!O462,"")</f>
        <v/>
      </c>
      <c r="N224" s="371" t="str">
        <f>IFERROR('Forecast Model'!P486/'Forecast Model'!P462,"")</f>
        <v/>
      </c>
      <c r="O224" s="371" t="str">
        <f>IFERROR('Forecast Model'!Q486/'Forecast Model'!Q462,"")</f>
        <v/>
      </c>
      <c r="P224" s="370"/>
      <c r="Q224" s="370"/>
      <c r="R224" s="370"/>
      <c r="S224" s="370"/>
      <c r="T224" s="370"/>
      <c r="U224" s="370"/>
      <c r="V224" s="370"/>
    </row>
    <row r="225" spans="1:22" x14ac:dyDescent="0.3">
      <c r="A225" s="370"/>
      <c r="B225" s="370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</row>
    <row r="226" spans="1:22" x14ac:dyDescent="0.3">
      <c r="A226" s="370" t="s">
        <v>198</v>
      </c>
      <c r="B226" s="370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</row>
    <row r="227" spans="1:22" x14ac:dyDescent="0.3">
      <c r="A227" s="370" t="s">
        <v>199</v>
      </c>
      <c r="B227" s="370"/>
      <c r="C227" s="371">
        <f>IFERROR('Forecast Model'!H251/'Forecast Model'!H219*365,"")</f>
        <v>0</v>
      </c>
      <c r="D227" s="371">
        <f>IFERROR('Forecast Model'!I251/'Forecast Model'!I219*365,"")</f>
        <v>37</v>
      </c>
      <c r="E227" s="371">
        <f>IFERROR('Forecast Model'!J251/'Forecast Model'!J219*365,"")</f>
        <v>37</v>
      </c>
      <c r="F227" s="371">
        <f>IFERROR('Forecast Model'!K251/'Forecast Model'!K219*365,"")</f>
        <v>37</v>
      </c>
      <c r="G227" s="371">
        <f>IFERROR('Forecast Model'!L251/'Forecast Model'!L219*365,"")</f>
        <v>36.999999999999993</v>
      </c>
      <c r="H227" s="371">
        <f>IFERROR('Forecast Model'!M251/'Forecast Model'!M219*365,"")</f>
        <v>32</v>
      </c>
      <c r="I227" s="371">
        <f>IFERROR('Forecast Model'!N251/'Forecast Model'!N219*365,"")</f>
        <v>31.999999999999996</v>
      </c>
      <c r="J227" s="371">
        <f>IFERROR('Forecast Model'!O251/'Forecast Model'!O219*365,"")</f>
        <v>31.999999999999996</v>
      </c>
      <c r="K227" s="371">
        <f>IFERROR('Forecast Model'!P251/'Forecast Model'!P219*365,"")</f>
        <v>32</v>
      </c>
      <c r="L227" s="371">
        <f>IFERROR('Forecast Model'!Q251/'Forecast Model'!Q219*365,"")</f>
        <v>32</v>
      </c>
      <c r="M227" s="371" t="str">
        <f>IFERROR('Forecast Model'!O450/'Forecast Model'!O418*365,"")</f>
        <v/>
      </c>
      <c r="N227" s="371" t="str">
        <f>IFERROR('Forecast Model'!P450/'Forecast Model'!P418*365,"")</f>
        <v/>
      </c>
      <c r="O227" s="371" t="str">
        <f>IFERROR('Forecast Model'!Q450/'Forecast Model'!Q418*365,"")</f>
        <v/>
      </c>
      <c r="P227" s="370"/>
      <c r="Q227" s="370"/>
      <c r="R227" s="370"/>
      <c r="S227" s="370"/>
      <c r="T227" s="370"/>
      <c r="U227" s="370"/>
      <c r="V227" s="370"/>
    </row>
    <row r="228" spans="1:22" x14ac:dyDescent="0.3">
      <c r="A228" s="370" t="s">
        <v>200</v>
      </c>
      <c r="B228" s="370"/>
      <c r="C228" s="371">
        <f>IFERROR('Forecast Model'!H261/'Forecast Model'!H225*365,"")</f>
        <v>0</v>
      </c>
      <c r="D228" s="371">
        <f>IFERROR('Forecast Model'!I261/'Forecast Model'!I225*365,"")</f>
        <v>52.999999999999993</v>
      </c>
      <c r="E228" s="371">
        <f>IFERROR('Forecast Model'!J261/'Forecast Model'!J225*365,"")</f>
        <v>52.999999999999993</v>
      </c>
      <c r="F228" s="371">
        <f>IFERROR('Forecast Model'!K261/'Forecast Model'!K225*365,"")</f>
        <v>53.000000000000007</v>
      </c>
      <c r="G228" s="371">
        <f>IFERROR('Forecast Model'!L261/'Forecast Model'!L225*365,"")</f>
        <v>53.000000000000007</v>
      </c>
      <c r="H228" s="371">
        <f>IFERROR('Forecast Model'!M261/'Forecast Model'!M225*365,"")</f>
        <v>48.000000000000007</v>
      </c>
      <c r="I228" s="371">
        <f>IFERROR('Forecast Model'!N261/'Forecast Model'!N225*365,"")</f>
        <v>48.000000000000007</v>
      </c>
      <c r="J228" s="371">
        <f>IFERROR('Forecast Model'!O261/'Forecast Model'!O225*365,"")</f>
        <v>48.000000000000007</v>
      </c>
      <c r="K228" s="371">
        <f>IFERROR('Forecast Model'!P261/'Forecast Model'!P225*365,"")</f>
        <v>48.000000000000007</v>
      </c>
      <c r="L228" s="371">
        <f>IFERROR('Forecast Model'!Q261/'Forecast Model'!Q225*365,"")</f>
        <v>48.000000000000007</v>
      </c>
      <c r="M228" s="371" t="str">
        <f>IFERROR('Forecast Model'!O460/'Forecast Model'!O424*365,"")</f>
        <v/>
      </c>
      <c r="N228" s="371" t="str">
        <f>IFERROR('Forecast Model'!P460/'Forecast Model'!P424*365,"")</f>
        <v/>
      </c>
      <c r="O228" s="371" t="str">
        <f>IFERROR('Forecast Model'!Q460/'Forecast Model'!Q424*365,"")</f>
        <v/>
      </c>
      <c r="P228" s="370"/>
      <c r="Q228" s="370"/>
      <c r="R228" s="370"/>
      <c r="S228" s="370"/>
      <c r="T228" s="370"/>
      <c r="U228" s="370"/>
      <c r="V228" s="370"/>
    </row>
    <row r="229" spans="1:22" x14ac:dyDescent="0.3">
      <c r="A229" s="370" t="s">
        <v>201</v>
      </c>
      <c r="B229" s="370"/>
      <c r="C229" s="371">
        <f>IFERROR('Forecast Model'!H252/'Forecast Model'!H225*365,"")</f>
        <v>0</v>
      </c>
      <c r="D229" s="371">
        <f>IFERROR('Forecast Model'!I252/'Forecast Model'!I225*365,"")</f>
        <v>65.999999999999986</v>
      </c>
      <c r="E229" s="371">
        <f>IFERROR('Forecast Model'!J252/'Forecast Model'!J225*365,"")</f>
        <v>66</v>
      </c>
      <c r="F229" s="371">
        <f>IFERROR('Forecast Model'!K252/'Forecast Model'!K225*365,"")</f>
        <v>71</v>
      </c>
      <c r="G229" s="371">
        <f>IFERROR('Forecast Model'!L252/'Forecast Model'!L225*365,"")</f>
        <v>70.999999999999986</v>
      </c>
      <c r="H229" s="371">
        <f>IFERROR('Forecast Model'!M252/'Forecast Model'!M225*365,"")</f>
        <v>70.999999999999986</v>
      </c>
      <c r="I229" s="371">
        <f>IFERROR('Forecast Model'!N252/'Forecast Model'!N225*365,"")</f>
        <v>75.999999999999986</v>
      </c>
      <c r="J229" s="371">
        <f>IFERROR('Forecast Model'!O252/'Forecast Model'!O225*365,"")</f>
        <v>75.999999999999986</v>
      </c>
      <c r="K229" s="371">
        <f>IFERROR('Forecast Model'!P252/'Forecast Model'!P225*365,"")</f>
        <v>81.000000000000014</v>
      </c>
      <c r="L229" s="371">
        <f>IFERROR('Forecast Model'!Q252/'Forecast Model'!Q225*365,"")</f>
        <v>81</v>
      </c>
      <c r="M229" s="371" t="str">
        <f>IFERROR('Forecast Model'!O451/'Forecast Model'!O424*365,"")</f>
        <v/>
      </c>
      <c r="N229" s="371" t="str">
        <f>IFERROR('Forecast Model'!P451/'Forecast Model'!P424*365,"")</f>
        <v/>
      </c>
      <c r="O229" s="371" t="str">
        <f>IFERROR('Forecast Model'!Q451/'Forecast Model'!Q424*365,"")</f>
        <v/>
      </c>
      <c r="P229" s="370"/>
      <c r="Q229" s="370"/>
      <c r="R229" s="370"/>
      <c r="S229" s="370"/>
      <c r="T229" s="370"/>
      <c r="U229" s="370"/>
      <c r="V229" s="370"/>
    </row>
    <row r="230" spans="1:22" x14ac:dyDescent="0.3">
      <c r="A230" s="370" t="s">
        <v>202</v>
      </c>
      <c r="B230" s="370"/>
      <c r="C230" s="371">
        <f>IFERROR(C229+C227-C228,"")</f>
        <v>0</v>
      </c>
      <c r="D230" s="371">
        <f>IFERROR(D229+D227-D228,"")</f>
        <v>49.999999999999993</v>
      </c>
      <c r="E230" s="371">
        <f>IFERROR(E229+E227-E228,"")</f>
        <v>50.000000000000007</v>
      </c>
      <c r="F230" s="371">
        <f>IFERROR(F229+F227-F228,"")</f>
        <v>54.999999999999993</v>
      </c>
      <c r="G230" s="371">
        <f>IFERROR(G229+G227-G228,"")</f>
        <v>54.999999999999964</v>
      </c>
      <c r="H230" s="371">
        <f>IFERROR(H229+H227-H228,"")</f>
        <v>54.999999999999979</v>
      </c>
      <c r="I230" s="371">
        <f>IFERROR(I229+I227-I228,"")</f>
        <v>59.999999999999979</v>
      </c>
      <c r="J230" s="371">
        <f>IFERROR(J229+J227-J228,"")</f>
        <v>59.999999999999979</v>
      </c>
      <c r="K230" s="371">
        <f>IFERROR(K229+K227-K228,"")</f>
        <v>65</v>
      </c>
      <c r="L230" s="371">
        <f>IFERROR(L229+L227-L228,"")</f>
        <v>65</v>
      </c>
      <c r="M230" s="371" t="str">
        <f>IFERROR(M229+M227-M228,"")</f>
        <v/>
      </c>
      <c r="N230" s="371" t="str">
        <f>IFERROR(N229+N227-N228,"")</f>
        <v/>
      </c>
      <c r="O230" s="371" t="str">
        <f>IFERROR(O229+O227-O228,"")</f>
        <v/>
      </c>
      <c r="P230" s="370"/>
      <c r="Q230" s="370"/>
      <c r="R230" s="370"/>
      <c r="S230" s="370"/>
      <c r="T230" s="370"/>
      <c r="U230" s="370"/>
      <c r="V230" s="370"/>
    </row>
    <row r="231" spans="1:22" x14ac:dyDescent="0.3">
      <c r="A231" s="370"/>
      <c r="B231" s="370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</row>
    <row r="232" spans="1:22" x14ac:dyDescent="0.3">
      <c r="A232" s="370" t="s">
        <v>203</v>
      </c>
      <c r="B232" s="370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</row>
    <row r="233" spans="1:22" x14ac:dyDescent="0.3">
      <c r="A233" s="370" t="s">
        <v>204</v>
      </c>
      <c r="B233" s="370"/>
      <c r="C233" s="368">
        <f>IFERROR('Forecast Model'!H266/'Forecast Model'!H273,"")</f>
        <v>0.52103882842407023</v>
      </c>
      <c r="D233" s="368">
        <f>IFERROR('Forecast Model'!I266/'Forecast Model'!I273,"")</f>
        <v>0.40589657984357824</v>
      </c>
      <c r="E233" s="368">
        <f>IFERROR('Forecast Model'!J266/'Forecast Model'!J273,"")</f>
        <v>0.29948687712039335</v>
      </c>
      <c r="F233" s="368">
        <f>IFERROR('Forecast Model'!K266/'Forecast Model'!K273,"")</f>
        <v>0.21604717371529478</v>
      </c>
      <c r="G233" s="368">
        <f>IFERROR('Forecast Model'!L266/'Forecast Model'!L273,"")</f>
        <v>0.15754505771595229</v>
      </c>
      <c r="H233" s="368">
        <f>IFERROR('Forecast Model'!M266/'Forecast Model'!M273,"")</f>
        <v>0.11341528355936195</v>
      </c>
      <c r="I233" s="368">
        <f>IFERROR('Forecast Model'!N266/'Forecast Model'!N273,"")</f>
        <v>8.1458453430354266E-2</v>
      </c>
      <c r="J233" s="368">
        <f>IFERROR('Forecast Model'!O266/'Forecast Model'!O273,"")</f>
        <v>5.6983261276485418E-2</v>
      </c>
      <c r="K233" s="368">
        <f>IFERROR('Forecast Model'!P266/'Forecast Model'!P273,"")</f>
        <v>3.8865951388679439E-2</v>
      </c>
      <c r="L233" s="368">
        <f>IFERROR('Forecast Model'!Q266/'Forecast Model'!Q273,"")</f>
        <v>2.5026931974432277E-2</v>
      </c>
      <c r="M233" s="371" t="str">
        <f>IFERROR('Forecast Model'!O465/'Forecast Model'!O472,"")</f>
        <v/>
      </c>
      <c r="N233" s="371" t="str">
        <f>IFERROR('Forecast Model'!P465/'Forecast Model'!P472,"")</f>
        <v/>
      </c>
      <c r="O233" s="371" t="str">
        <f>IFERROR('Forecast Model'!Q465/'Forecast Model'!Q472,"")</f>
        <v/>
      </c>
      <c r="P233" s="370"/>
      <c r="Q233" s="370"/>
      <c r="R233" s="370"/>
      <c r="S233" s="370"/>
      <c r="T233" s="370"/>
      <c r="U233" s="370"/>
      <c r="V233" s="370"/>
    </row>
    <row r="234" spans="1:22" x14ac:dyDescent="0.3">
      <c r="A234" s="370" t="s">
        <v>205</v>
      </c>
      <c r="B234" s="370"/>
      <c r="C234" s="368">
        <f>IFERROR('Forecast Model'!H273/'Forecast Model'!H258,"")</f>
        <v>0.65744541251197908</v>
      </c>
      <c r="D234" s="368">
        <f>IFERROR('Forecast Model'!I273/'Forecast Model'!I258,"")</f>
        <v>0.55117011503413249</v>
      </c>
      <c r="E234" s="368">
        <f>IFERROR('Forecast Model'!J273/'Forecast Model'!J258,"")</f>
        <v>0.60881685621391757</v>
      </c>
      <c r="F234" s="368">
        <f>IFERROR('Forecast Model'!K273/'Forecast Model'!K258,"")</f>
        <v>0.66786963788879627</v>
      </c>
      <c r="G234" s="368">
        <f>IFERROR('Forecast Model'!L273/'Forecast Model'!L258,"")</f>
        <v>0.71671964939460564</v>
      </c>
      <c r="H234" s="368">
        <f>IFERROR('Forecast Model'!M273/'Forecast Model'!M258,"")</f>
        <v>0.76929894600300874</v>
      </c>
      <c r="I234" s="368">
        <f>IFERROR('Forecast Model'!N273/'Forecast Model'!N258,"")</f>
        <v>0.8053978941462917</v>
      </c>
      <c r="J234" s="368">
        <f>IFERROR('Forecast Model'!O273/'Forecast Model'!O258,"")</f>
        <v>0.83901895936814208</v>
      </c>
      <c r="K234" s="368">
        <f>IFERROR('Forecast Model'!P273/'Forecast Model'!P258,"")</f>
        <v>0.86423315755669772</v>
      </c>
      <c r="L234" s="368">
        <f>IFERROR('Forecast Model'!Q273/'Forecast Model'!Q258,"")</f>
        <v>0.88558276301381178</v>
      </c>
      <c r="M234" s="371" t="str">
        <f>IFERROR('Forecast Model'!O472/'Forecast Model'!O457,"")</f>
        <v/>
      </c>
      <c r="N234" s="371" t="str">
        <f>IFERROR('Forecast Model'!P472/'Forecast Model'!P457,"")</f>
        <v/>
      </c>
      <c r="O234" s="371" t="str">
        <f>IFERROR('Forecast Model'!Q472/'Forecast Model'!Q457,"")</f>
        <v/>
      </c>
      <c r="P234" s="370"/>
      <c r="Q234" s="370"/>
      <c r="R234" s="370"/>
      <c r="S234" s="370"/>
      <c r="T234" s="370"/>
      <c r="U234" s="370"/>
      <c r="V234" s="370"/>
    </row>
    <row r="235" spans="1:22" x14ac:dyDescent="0.3">
      <c r="A235" s="370" t="s">
        <v>206</v>
      </c>
      <c r="B235" s="370"/>
      <c r="C235" s="368">
        <f>IFERROR('Forecast Model'!H267/'Forecast Model'!H258,"")</f>
        <v>0.34255458748802114</v>
      </c>
      <c r="D235" s="368">
        <f>IFERROR('Forecast Model'!I267/'Forecast Model'!I258,"")</f>
        <v>0.22371806460434596</v>
      </c>
      <c r="E235" s="368">
        <f>IFERROR('Forecast Model'!J267/'Forecast Model'!J258,"")</f>
        <v>0.1823326590057617</v>
      </c>
      <c r="F235" s="368">
        <f>IFERROR('Forecast Model'!K267/'Forecast Model'!K258,"")</f>
        <v>0.1442913476761318</v>
      </c>
      <c r="G235" s="368">
        <f>IFERROR('Forecast Model'!L267/'Forecast Model'!L258,"")</f>
        <v>0.11291563853003024</v>
      </c>
      <c r="H235" s="368">
        <f>IFERROR('Forecast Model'!M267/'Forecast Model'!M258,"")</f>
        <v>8.7250258102849518E-2</v>
      </c>
      <c r="I235" s="368">
        <f>IFERROR('Forecast Model'!N267/'Forecast Model'!N258,"")</f>
        <v>6.5606466853221093E-2</v>
      </c>
      <c r="J235" s="368">
        <f>IFERROR('Forecast Model'!O267/'Forecast Model'!O258,"")</f>
        <v>4.7810036577599739E-2</v>
      </c>
      <c r="K235" s="368">
        <f>IFERROR('Forecast Model'!P267/'Forecast Model'!P258,"")</f>
        <v>3.3589243890083553E-2</v>
      </c>
      <c r="L235" s="368">
        <f>IFERROR('Forecast Model'!Q267/'Forecast Model'!Q258,"")</f>
        <v>2.2163419567676448E-2</v>
      </c>
      <c r="M235" s="371" t="str">
        <f>IFERROR('Forecast Model'!O466/'Forecast Model'!O457,"")</f>
        <v/>
      </c>
      <c r="N235" s="371" t="str">
        <f>IFERROR('Forecast Model'!P466/'Forecast Model'!P457,"")</f>
        <v/>
      </c>
      <c r="O235" s="371" t="str">
        <f>IFERROR('Forecast Model'!Q466/'Forecast Model'!Q457,"")</f>
        <v/>
      </c>
      <c r="P235" s="370"/>
      <c r="Q235" s="370"/>
      <c r="R235" s="370"/>
      <c r="S235" s="370"/>
      <c r="T235" s="370"/>
      <c r="U235" s="370"/>
      <c r="V235" s="370"/>
    </row>
    <row r="236" spans="1:22" x14ac:dyDescent="0.3">
      <c r="A236" s="370"/>
      <c r="B236" s="370"/>
      <c r="C236" s="370"/>
      <c r="D236" s="370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</row>
    <row r="237" spans="1:22" x14ac:dyDescent="0.3">
      <c r="A237" s="370" t="s">
        <v>25</v>
      </c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</row>
    <row r="238" spans="1:22" x14ac:dyDescent="0.3">
      <c r="A238" s="370"/>
      <c r="B238" s="370" t="s">
        <v>92</v>
      </c>
      <c r="C238" s="371">
        <f>INDEX('Forecast Model'!$H$219:$Q$219, MATCH(Outputs!$F$31, $C$175:$L$175, 0))</f>
        <v>402045.22406400001</v>
      </c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</row>
    <row r="239" spans="1:22" x14ac:dyDescent="0.3">
      <c r="A239" s="370"/>
      <c r="B239" s="370" t="s">
        <v>297</v>
      </c>
      <c r="C239" s="371">
        <f>IFERROR(INDEX('Forecast Model'!$H$219:$Q$219, MATCH(Outputs!$F$31-1, $C$175:$L$175, 0)),0)</f>
        <v>0</v>
      </c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</row>
    <row r="240" spans="1:22" x14ac:dyDescent="0.3">
      <c r="A240" s="370"/>
      <c r="B240" s="370" t="s">
        <v>178</v>
      </c>
      <c r="C240" s="368">
        <f>IFERROR((C238-C239)/C239,0)</f>
        <v>0</v>
      </c>
      <c r="D240" s="370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</row>
    <row r="241" spans="1:22" x14ac:dyDescent="0.3">
      <c r="A241" s="370"/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</row>
    <row r="242" spans="1:22" x14ac:dyDescent="0.3">
      <c r="A242" s="370"/>
      <c r="B242" s="370" t="s">
        <v>298</v>
      </c>
      <c r="C242" s="371">
        <v>0</v>
      </c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</row>
    <row r="243" spans="1:22" x14ac:dyDescent="0.3">
      <c r="A243" s="370"/>
      <c r="B243" s="370" t="s">
        <v>297</v>
      </c>
      <c r="C243" s="371" cm="1">
        <f t="array" ref="C243">IFERROR(INDEX('Forecast Model'!$H$235:$Q$235+'Forecast Model'!$H$225:$Q$225, MATCH(Outputs!$F$31-1, $C$175:$L$175, 0)),0)</f>
        <v>0</v>
      </c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0"/>
      <c r="P243" s="370"/>
      <c r="Q243" s="370"/>
      <c r="R243" s="370"/>
      <c r="S243" s="370"/>
      <c r="T243" s="370"/>
      <c r="U243" s="370"/>
      <c r="V243" s="370"/>
    </row>
    <row r="244" spans="1:22" x14ac:dyDescent="0.3">
      <c r="A244" s="370"/>
      <c r="B244" s="370" t="s">
        <v>178</v>
      </c>
      <c r="C244" s="368">
        <f>IFERROR((C242-C243)/C243,0)</f>
        <v>0</v>
      </c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0"/>
      <c r="P244" s="370"/>
      <c r="Q244" s="370"/>
      <c r="R244" s="370"/>
      <c r="S244" s="370"/>
      <c r="T244" s="370"/>
      <c r="U244" s="370"/>
      <c r="V244" s="370"/>
    </row>
    <row r="245" spans="1:22" x14ac:dyDescent="0.3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0"/>
      <c r="P245" s="370"/>
      <c r="Q245" s="370"/>
      <c r="R245" s="370"/>
      <c r="S245" s="370"/>
      <c r="T245" s="370"/>
      <c r="U245" s="370"/>
      <c r="V245" s="370"/>
    </row>
    <row r="246" spans="1:22" x14ac:dyDescent="0.3">
      <c r="A246" s="370"/>
      <c r="B246" s="370" t="s">
        <v>130</v>
      </c>
      <c r="C246" s="371">
        <f>INDEX('Forecast Model'!$H$245:$Q$245, MATCH(Outputs!$F$31, $C$175:$L$175, 0))</f>
        <v>38377.846209584721</v>
      </c>
      <c r="D246" s="370"/>
      <c r="E246" s="370"/>
      <c r="F246" s="370"/>
      <c r="G246" s="370"/>
      <c r="H246" s="370"/>
      <c r="I246" s="370"/>
      <c r="J246" s="370"/>
      <c r="K246" s="370"/>
      <c r="L246" s="370"/>
      <c r="M246" s="370"/>
      <c r="N246" s="370"/>
      <c r="O246" s="370"/>
      <c r="P246" s="370"/>
      <c r="Q246" s="370"/>
      <c r="R246" s="370"/>
      <c r="S246" s="370"/>
      <c r="T246" s="370"/>
      <c r="U246" s="370"/>
      <c r="V246" s="370"/>
    </row>
    <row r="247" spans="1:22" x14ac:dyDescent="0.3">
      <c r="A247" s="370"/>
      <c r="B247" s="370" t="s">
        <v>297</v>
      </c>
      <c r="C247" s="371">
        <f>IFERROR(INDEX('Forecast Model'!$H$245:$Q$245, MATCH(Outputs!$F$31-1, $C$175:$L$175, 0)),0)</f>
        <v>0</v>
      </c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</row>
    <row r="248" spans="1:22" x14ac:dyDescent="0.3">
      <c r="A248" s="370"/>
      <c r="B248" s="370" t="s">
        <v>178</v>
      </c>
      <c r="C248" s="368">
        <f>IFERROR((C246-C247)/C247,0)</f>
        <v>0</v>
      </c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0"/>
      <c r="P248" s="370"/>
      <c r="Q248" s="370"/>
      <c r="R248" s="370"/>
      <c r="S248" s="370"/>
      <c r="T248" s="370"/>
      <c r="U248" s="370"/>
      <c r="V248" s="370"/>
    </row>
    <row r="249" spans="1:22" x14ac:dyDescent="0.3">
      <c r="A249" s="370"/>
      <c r="B249" s="370"/>
      <c r="C249" s="370"/>
      <c r="D249" s="370"/>
      <c r="E249" s="370"/>
      <c r="F249" s="370"/>
      <c r="G249" s="370"/>
      <c r="H249" s="370"/>
      <c r="I249" s="370"/>
      <c r="J249" s="370"/>
      <c r="K249" s="370"/>
      <c r="L249" s="370"/>
      <c r="M249" s="370"/>
      <c r="N249" s="370"/>
      <c r="O249" s="370"/>
      <c r="P249" s="370"/>
      <c r="Q249" s="370"/>
      <c r="R249" s="370"/>
      <c r="S249" s="370"/>
      <c r="T249" s="370"/>
      <c r="U249" s="370"/>
      <c r="V249" s="370"/>
    </row>
    <row r="250" spans="1:22" x14ac:dyDescent="0.3">
      <c r="A250" s="370"/>
      <c r="B250" s="370" t="s">
        <v>167</v>
      </c>
      <c r="C250" s="371">
        <v>0</v>
      </c>
      <c r="D250" s="370"/>
      <c r="E250" s="370"/>
      <c r="F250" s="370"/>
      <c r="G250" s="370"/>
      <c r="H250" s="370"/>
      <c r="I250" s="370"/>
      <c r="J250" s="370"/>
      <c r="K250" s="370"/>
      <c r="L250" s="370"/>
      <c r="M250" s="370"/>
      <c r="N250" s="370"/>
      <c r="O250" s="370"/>
      <c r="P250" s="370"/>
      <c r="Q250" s="370"/>
      <c r="R250" s="370"/>
      <c r="S250" s="370"/>
      <c r="T250" s="370"/>
      <c r="U250" s="370"/>
      <c r="V250" s="370"/>
    </row>
    <row r="251" spans="1:22" x14ac:dyDescent="0.3">
      <c r="A251" s="370"/>
      <c r="B251" s="370" t="s">
        <v>297</v>
      </c>
      <c r="C251" s="371" cm="1">
        <f t="array" ref="C251">IFERROR(INDEX('Forecast Model'!$H$234:$Q$234+'Forecast Model'!$H$238:$Q$238, MATCH(Outputs!$F$31-1, $C$175:$L$175, 0)),0)</f>
        <v>0</v>
      </c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0"/>
      <c r="P251" s="370"/>
      <c r="Q251" s="370"/>
      <c r="R251" s="370"/>
      <c r="S251" s="370"/>
      <c r="T251" s="370"/>
      <c r="U251" s="370"/>
      <c r="V251" s="370"/>
    </row>
    <row r="252" spans="1:22" x14ac:dyDescent="0.3">
      <c r="A252" s="370"/>
      <c r="B252" s="370" t="s">
        <v>178</v>
      </c>
      <c r="C252" s="368">
        <f>IFERROR((C250-C251)/C251,0)</f>
        <v>0</v>
      </c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</row>
    <row r="253" spans="1:22" x14ac:dyDescent="0.3">
      <c r="A253" s="370"/>
      <c r="B253" s="370"/>
      <c r="C253" s="370"/>
      <c r="D253" s="370"/>
      <c r="E253" s="370"/>
      <c r="F253" s="370"/>
      <c r="G253" s="370"/>
      <c r="H253" s="370"/>
      <c r="I253" s="370"/>
      <c r="J253" s="370"/>
      <c r="K253" s="370"/>
      <c r="L253" s="370"/>
      <c r="M253" s="370"/>
      <c r="N253" s="370"/>
      <c r="O253" s="370"/>
      <c r="P253" s="370"/>
      <c r="Q253" s="370"/>
      <c r="R253" s="370"/>
      <c r="S253" s="370"/>
      <c r="T253" s="370"/>
      <c r="U253" s="370"/>
      <c r="V253" s="370"/>
    </row>
    <row r="254" spans="1:22" x14ac:dyDescent="0.3">
      <c r="A254" s="370"/>
      <c r="B254" s="370" t="s">
        <v>161</v>
      </c>
      <c r="C254" s="371">
        <f>INDEX('Forecast Model'!$H$301:$Q$301, MATCH(Outputs!$F$31, $C$175:$L$175, 0))</f>
        <v>178578.55379479629</v>
      </c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0"/>
      <c r="P254" s="370"/>
      <c r="Q254" s="370"/>
      <c r="R254" s="370"/>
      <c r="S254" s="370"/>
      <c r="T254" s="370"/>
      <c r="U254" s="370"/>
      <c r="V254" s="370"/>
    </row>
    <row r="255" spans="1:22" x14ac:dyDescent="0.3">
      <c r="A255" s="370"/>
      <c r="B255" s="370" t="s">
        <v>297</v>
      </c>
      <c r="C255" s="371">
        <f>IFERROR(INDEX('Forecast Model'!$H$301:$Q$301, MATCH(Outputs!$F$31-1, $C$175:$L$175, 0)),0)</f>
        <v>0</v>
      </c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0"/>
      <c r="P255" s="370"/>
      <c r="Q255" s="370"/>
      <c r="R255" s="370"/>
      <c r="S255" s="370"/>
      <c r="T255" s="370"/>
      <c r="U255" s="370"/>
      <c r="V255" s="370"/>
    </row>
    <row r="256" spans="1:22" x14ac:dyDescent="0.3">
      <c r="A256" s="370"/>
      <c r="B256" s="370" t="s">
        <v>178</v>
      </c>
      <c r="C256" s="368">
        <f>IFERROR((C254-C255)/C255,0)</f>
        <v>0</v>
      </c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0"/>
      <c r="P256" s="370"/>
      <c r="Q256" s="370"/>
      <c r="R256" s="370"/>
      <c r="S256" s="370"/>
      <c r="T256" s="370"/>
      <c r="U256" s="370"/>
      <c r="V256" s="370"/>
    </row>
    <row r="257" spans="1:22" x14ac:dyDescent="0.3">
      <c r="A257" s="370"/>
      <c r="B257" s="370"/>
      <c r="C257" s="370"/>
      <c r="D257" s="370"/>
      <c r="E257" s="370"/>
      <c r="F257" s="370"/>
      <c r="G257" s="370"/>
      <c r="H257" s="370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</row>
    <row r="258" spans="1:22" x14ac:dyDescent="0.3">
      <c r="A258" s="370"/>
      <c r="B258" s="370" t="s">
        <v>82</v>
      </c>
      <c r="C258" s="371">
        <f>INDEX('Forecast Model'!$H$266:$Q$266, MATCH(Outputs!$F$31, $C$175:$L$175, 0))</f>
        <v>65363.000000000051</v>
      </c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0"/>
      <c r="P258" s="370"/>
      <c r="Q258" s="370"/>
      <c r="R258" s="370"/>
      <c r="S258" s="370"/>
      <c r="T258" s="370"/>
      <c r="U258" s="370"/>
      <c r="V258" s="370"/>
    </row>
    <row r="259" spans="1:22" x14ac:dyDescent="0.3">
      <c r="A259" s="370"/>
      <c r="B259" s="370" t="s">
        <v>297</v>
      </c>
      <c r="C259" s="371">
        <f>IFERROR(INDEX('Forecast Model'!$H$266:$Q$266, MATCH(Outputs!$F$31-1, $C$175:$L$175, 0)),0)</f>
        <v>0</v>
      </c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0"/>
      <c r="P259" s="370"/>
      <c r="Q259" s="370"/>
      <c r="R259" s="370"/>
      <c r="S259" s="370"/>
      <c r="T259" s="370"/>
      <c r="U259" s="370"/>
      <c r="V259" s="370"/>
    </row>
    <row r="260" spans="1:22" x14ac:dyDescent="0.3">
      <c r="A260" s="370"/>
      <c r="B260" s="370" t="s">
        <v>178</v>
      </c>
      <c r="C260" s="368">
        <f>IFERROR((C258-C259)/C259,0)</f>
        <v>0</v>
      </c>
      <c r="D260" s="370"/>
      <c r="E260" s="370"/>
      <c r="F260" s="370"/>
      <c r="G260" s="370"/>
      <c r="H260" s="370"/>
      <c r="I260" s="370"/>
      <c r="J260" s="370"/>
      <c r="K260" s="370"/>
      <c r="L260" s="370"/>
      <c r="M260" s="370"/>
      <c r="N260" s="370"/>
      <c r="O260" s="370"/>
      <c r="P260" s="370"/>
      <c r="Q260" s="370"/>
      <c r="R260" s="370"/>
      <c r="S260" s="370"/>
      <c r="T260" s="370"/>
      <c r="U260" s="370"/>
      <c r="V260" s="370"/>
    </row>
    <row r="261" spans="1:22" x14ac:dyDescent="0.3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0"/>
      <c r="P261" s="370"/>
      <c r="Q261" s="370"/>
      <c r="R261" s="370"/>
      <c r="S261" s="370"/>
      <c r="T261" s="370"/>
      <c r="U261" s="370"/>
      <c r="V261" s="370"/>
    </row>
    <row r="262" spans="1:22" x14ac:dyDescent="0.3">
      <c r="A262" s="370"/>
      <c r="B262" s="370" t="s">
        <v>180</v>
      </c>
      <c r="C262" s="379" t="str">
        <f>INDEX('Formula Audit'!$C$222:$L$222, MATCH(Outputs!$F$31, $C$175:$L$175, 0))</f>
        <v/>
      </c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</row>
    <row r="263" spans="1:22" x14ac:dyDescent="0.3">
      <c r="A263" s="370"/>
      <c r="B263" s="370" t="s">
        <v>297</v>
      </c>
      <c r="C263" s="379">
        <f>IFERROR(INDEX('Formula Audit'!$C$222:$L$222, MATCH(Outputs!$F$31-1, $C$175:$L$175, 0)),0)</f>
        <v>0</v>
      </c>
      <c r="D263" s="370"/>
      <c r="E263" s="370"/>
      <c r="F263" s="370"/>
      <c r="G263" s="370"/>
      <c r="H263" s="370"/>
      <c r="I263" s="370"/>
      <c r="J263" s="370"/>
      <c r="K263" s="370"/>
      <c r="L263" s="370"/>
      <c r="M263" s="370"/>
      <c r="N263" s="370"/>
      <c r="O263" s="370"/>
      <c r="P263" s="370"/>
      <c r="Q263" s="370"/>
      <c r="R263" s="370"/>
      <c r="S263" s="370"/>
      <c r="T263" s="370"/>
      <c r="U263" s="370"/>
      <c r="V263" s="370"/>
    </row>
    <row r="264" spans="1:22" x14ac:dyDescent="0.3">
      <c r="A264" s="370"/>
      <c r="B264" s="370" t="s">
        <v>178</v>
      </c>
      <c r="C264" s="368">
        <f>IFERROR((C262-C263)/C263,0)</f>
        <v>0</v>
      </c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70"/>
      <c r="V264" s="370"/>
    </row>
    <row r="265" spans="1:22" x14ac:dyDescent="0.3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70"/>
      <c r="V265" s="370"/>
    </row>
    <row r="266" spans="1:22" x14ac:dyDescent="0.3">
      <c r="A266" s="370"/>
      <c r="B266" s="370" t="s">
        <v>181</v>
      </c>
      <c r="C266" s="379" t="str">
        <f>INDEX('Formula Audit'!$C$223:$L$223, MATCH(Outputs!$F$31, $C$175:$L$175, 0))</f>
        <v/>
      </c>
      <c r="D266" s="370"/>
      <c r="E266" s="370"/>
      <c r="F266" s="370"/>
      <c r="G266" s="370"/>
      <c r="H266" s="370"/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70"/>
      <c r="V266" s="370"/>
    </row>
    <row r="267" spans="1:22" x14ac:dyDescent="0.3">
      <c r="A267" s="370"/>
      <c r="B267" s="370" t="s">
        <v>297</v>
      </c>
      <c r="C267" s="379">
        <f>IFERROR(INDEX('Formula Audit'!$C$223:$L$223, MATCH(Outputs!$F$31-1, $C$175:$L$175, 0)),0)</f>
        <v>0</v>
      </c>
      <c r="D267" s="370"/>
      <c r="E267" s="370"/>
      <c r="F267" s="370"/>
      <c r="G267" s="370"/>
      <c r="H267" s="370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</row>
    <row r="268" spans="1:22" x14ac:dyDescent="0.3">
      <c r="A268" s="370"/>
      <c r="B268" s="370" t="s">
        <v>178</v>
      </c>
      <c r="C268" s="368">
        <f>IFERROR((C266-C267)/C267,0)</f>
        <v>0</v>
      </c>
      <c r="D268" s="370"/>
      <c r="E268" s="370"/>
      <c r="F268" s="370"/>
      <c r="G268" s="370"/>
      <c r="H268" s="370"/>
      <c r="I268" s="370"/>
      <c r="J268" s="370"/>
      <c r="K268" s="370"/>
      <c r="L268" s="370"/>
      <c r="M268" s="370"/>
      <c r="N268" s="370"/>
      <c r="O268" s="370"/>
      <c r="P268" s="370"/>
      <c r="Q268" s="370"/>
      <c r="R268" s="370"/>
      <c r="S268" s="370"/>
      <c r="T268" s="370"/>
      <c r="U268" s="370"/>
      <c r="V268" s="370"/>
    </row>
    <row r="269" spans="1:22" x14ac:dyDescent="0.3">
      <c r="A269" s="370"/>
      <c r="B269" s="370"/>
      <c r="C269" s="370"/>
      <c r="D269" s="370"/>
      <c r="E269" s="370"/>
      <c r="F269" s="370"/>
      <c r="G269" s="370"/>
      <c r="H269" s="370"/>
      <c r="I269" s="370"/>
      <c r="J269" s="370"/>
      <c r="K269" s="370"/>
      <c r="L269" s="370"/>
      <c r="M269" s="370"/>
      <c r="N269" s="370"/>
      <c r="O269" s="370"/>
      <c r="P269" s="370"/>
      <c r="Q269" s="370"/>
      <c r="R269" s="370"/>
      <c r="S269" s="370"/>
      <c r="T269" s="370"/>
      <c r="U269" s="370"/>
      <c r="V269" s="370"/>
    </row>
    <row r="270" spans="1:22" x14ac:dyDescent="0.3">
      <c r="A270" s="370"/>
      <c r="B270" s="370" t="s">
        <v>168</v>
      </c>
      <c r="C270" s="368">
        <f>INDEX('Forecast Model'!$H$246:$Q$246, MATCH(Outputs!$F$31, $C$175:$L$175, 0))</f>
        <v>9.5456540489772118E-2</v>
      </c>
      <c r="D270" s="370" t="s">
        <v>293</v>
      </c>
      <c r="E270" s="370"/>
      <c r="F270" s="370"/>
      <c r="G270" s="370"/>
      <c r="H270" s="370"/>
      <c r="I270" s="370"/>
      <c r="J270" s="370"/>
      <c r="K270" s="370"/>
      <c r="L270" s="370"/>
      <c r="M270" s="370"/>
      <c r="N270" s="370"/>
      <c r="O270" s="370"/>
      <c r="P270" s="370"/>
      <c r="Q270" s="370"/>
      <c r="R270" s="370"/>
      <c r="S270" s="370"/>
      <c r="T270" s="370"/>
      <c r="U270" s="370"/>
      <c r="V270" s="370"/>
    </row>
    <row r="271" spans="1:22" x14ac:dyDescent="0.3">
      <c r="A271" s="370"/>
      <c r="B271" s="370" t="s">
        <v>297</v>
      </c>
      <c r="C271" s="368">
        <f>IFERROR(INDEX('Forecast Model'!$H$246:$Q$246, MATCH(Outputs!$F$31-1, $C$175:$L$175, 0)),0)</f>
        <v>0</v>
      </c>
      <c r="D271" s="373">
        <f>C270*100</f>
        <v>9.5456540489772124</v>
      </c>
      <c r="E271" s="370"/>
      <c r="F271" s="370"/>
      <c r="G271" s="370"/>
      <c r="H271" s="370"/>
      <c r="I271" s="370"/>
      <c r="J271" s="370"/>
      <c r="K271" s="370"/>
      <c r="L271" s="370"/>
      <c r="M271" s="370"/>
      <c r="N271" s="370"/>
      <c r="O271" s="370"/>
      <c r="P271" s="370"/>
      <c r="Q271" s="370"/>
      <c r="R271" s="370"/>
      <c r="S271" s="370"/>
      <c r="T271" s="370"/>
      <c r="U271" s="370"/>
      <c r="V271" s="370"/>
    </row>
    <row r="272" spans="1:22" x14ac:dyDescent="0.3">
      <c r="A272" s="370"/>
      <c r="B272" s="370" t="s">
        <v>178</v>
      </c>
      <c r="C272" s="368">
        <f>IFERROR((C270-C271)/C271,0)</f>
        <v>0</v>
      </c>
      <c r="D272" s="371">
        <f>100-D271</f>
        <v>90.454345951022788</v>
      </c>
      <c r="E272" s="370"/>
      <c r="F272" s="370"/>
      <c r="G272" s="370"/>
      <c r="H272" s="370"/>
      <c r="I272" s="370"/>
      <c r="J272" s="370"/>
      <c r="K272" s="370"/>
      <c r="L272" s="370"/>
      <c r="M272" s="370"/>
      <c r="N272" s="370"/>
      <c r="O272" s="370"/>
      <c r="P272" s="370"/>
      <c r="Q272" s="370"/>
      <c r="R272" s="370"/>
      <c r="S272" s="370"/>
      <c r="T272" s="370"/>
      <c r="U272" s="370"/>
      <c r="V272" s="370"/>
    </row>
    <row r="273" spans="1:22" x14ac:dyDescent="0.3">
      <c r="A273" s="370"/>
      <c r="B273" s="370"/>
      <c r="C273" s="370"/>
      <c r="D273" s="370"/>
      <c r="E273" s="370"/>
      <c r="F273" s="370"/>
      <c r="G273" s="370"/>
      <c r="H273" s="370"/>
      <c r="I273" s="370"/>
      <c r="J273" s="370"/>
      <c r="K273" s="370"/>
      <c r="L273" s="370"/>
      <c r="M273" s="370"/>
      <c r="N273" s="370"/>
      <c r="O273" s="370"/>
      <c r="P273" s="370"/>
      <c r="Q273" s="370"/>
      <c r="R273" s="370"/>
      <c r="S273" s="370"/>
      <c r="T273" s="370"/>
      <c r="U273" s="370"/>
      <c r="V273" s="370"/>
    </row>
    <row r="274" spans="1:22" x14ac:dyDescent="0.3">
      <c r="A274" s="370"/>
      <c r="B274" s="370" t="s">
        <v>166</v>
      </c>
      <c r="C274" s="368">
        <f>INDEX('Forecast Model'!$H$228:$Q$228, MATCH(Outputs!$F$31, $C$175:$L$175, 0))</f>
        <v>0.44574369739491565</v>
      </c>
      <c r="D274" s="370" t="s">
        <v>293</v>
      </c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0"/>
      <c r="P274" s="370"/>
      <c r="Q274" s="370"/>
      <c r="R274" s="370"/>
      <c r="S274" s="370"/>
      <c r="T274" s="370"/>
      <c r="U274" s="370"/>
      <c r="V274" s="370"/>
    </row>
    <row r="275" spans="1:22" x14ac:dyDescent="0.3">
      <c r="A275" s="370"/>
      <c r="B275" s="370" t="s">
        <v>297</v>
      </c>
      <c r="C275" s="368">
        <f>INDEX('Forecast Model'!$H$228:$Q$228, MATCH(Outputs!$F$31, $C$175:$L$175, 0))</f>
        <v>0.44574369739491565</v>
      </c>
      <c r="D275" s="373">
        <f>C274*100</f>
        <v>44.574369739491566</v>
      </c>
      <c r="E275" s="373">
        <f>D275</f>
        <v>44.574369739491566</v>
      </c>
      <c r="F275" s="370"/>
      <c r="G275" s="370"/>
      <c r="H275" s="370"/>
      <c r="I275" s="370"/>
      <c r="J275" s="370"/>
      <c r="K275" s="370"/>
      <c r="L275" s="370"/>
      <c r="M275" s="370"/>
      <c r="N275" s="370"/>
      <c r="O275" s="370"/>
      <c r="P275" s="370"/>
      <c r="Q275" s="370"/>
      <c r="R275" s="370"/>
      <c r="S275" s="370"/>
      <c r="T275" s="370"/>
      <c r="U275" s="370"/>
      <c r="V275" s="370"/>
    </row>
    <row r="276" spans="1:22" x14ac:dyDescent="0.3">
      <c r="A276" s="370"/>
      <c r="B276" s="370" t="s">
        <v>178</v>
      </c>
      <c r="C276" s="368">
        <f>IFERROR((C274-C275)/C275,0)</f>
        <v>0</v>
      </c>
      <c r="D276" s="371">
        <f>100-D275</f>
        <v>55.425630260508434</v>
      </c>
      <c r="E276" s="371">
        <v>2</v>
      </c>
      <c r="F276" s="370"/>
      <c r="G276" s="370"/>
      <c r="H276" s="370"/>
      <c r="I276" s="370"/>
      <c r="J276" s="370"/>
      <c r="K276" s="370"/>
      <c r="L276" s="370"/>
      <c r="M276" s="370"/>
      <c r="N276" s="370"/>
      <c r="O276" s="370"/>
      <c r="P276" s="370"/>
      <c r="Q276" s="370"/>
      <c r="R276" s="370"/>
      <c r="S276" s="370"/>
      <c r="T276" s="370"/>
      <c r="U276" s="370"/>
      <c r="V276" s="370"/>
    </row>
    <row r="277" spans="1:22" x14ac:dyDescent="0.3">
      <c r="A277" s="370"/>
      <c r="B277" s="370"/>
      <c r="C277" s="370"/>
      <c r="D277" s="371">
        <v>100</v>
      </c>
      <c r="E277" s="371">
        <f>200-E275-E276</f>
        <v>153.42563026050843</v>
      </c>
      <c r="F277" s="370"/>
      <c r="G277" s="370"/>
      <c r="H277" s="370"/>
      <c r="I277" s="370"/>
      <c r="J277" s="370"/>
      <c r="K277" s="370"/>
      <c r="L277" s="370"/>
      <c r="M277" s="370"/>
      <c r="N277" s="370"/>
      <c r="O277" s="370"/>
      <c r="P277" s="370"/>
      <c r="Q277" s="370"/>
      <c r="R277" s="370"/>
      <c r="S277" s="370"/>
      <c r="T277" s="370"/>
      <c r="U277" s="370"/>
      <c r="V277" s="370"/>
    </row>
    <row r="278" spans="1:22" x14ac:dyDescent="0.3">
      <c r="A278" s="370"/>
      <c r="B278" s="370" t="s">
        <v>195</v>
      </c>
      <c r="C278" s="368" cm="1">
        <f t="array" ref="C278">INDEX(('Forecast Model'!$H$234:$Q$234+'Forecast Model'!$H$238:$Q$238)/'Forecast Model'!$H$219:$Q$219, MATCH(Outputs!$F$31, $C$175:$L$175, 0))</f>
        <v>0.16206696122165828</v>
      </c>
      <c r="D278" s="370" t="s">
        <v>293</v>
      </c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0"/>
      <c r="V278" s="370"/>
    </row>
    <row r="279" spans="1:22" x14ac:dyDescent="0.3">
      <c r="A279" s="370"/>
      <c r="B279" s="370" t="s">
        <v>297</v>
      </c>
      <c r="C279" s="368" cm="1">
        <f t="array" ref="C279">IFERROR(INDEX(('Forecast Model'!$H$234:$Q$234+'Forecast Model'!$H$238:$Q$238)/'Forecast Model'!$H$219:$Q$219, MATCH(Outputs!$F$31-1, $C$175:$L$175, 0)),0)</f>
        <v>0</v>
      </c>
      <c r="D279" s="373">
        <f>C278*100</f>
        <v>16.206696122165827</v>
      </c>
      <c r="E279" s="373">
        <f>D279</f>
        <v>16.206696122165827</v>
      </c>
      <c r="F279" s="370"/>
      <c r="G279" s="370"/>
      <c r="H279" s="370"/>
      <c r="I279" s="370"/>
      <c r="J279" s="370"/>
      <c r="K279" s="370"/>
      <c r="L279" s="370"/>
      <c r="M279" s="370"/>
      <c r="N279" s="370"/>
      <c r="O279" s="370"/>
      <c r="P279" s="370"/>
      <c r="Q279" s="370"/>
      <c r="R279" s="370"/>
      <c r="S279" s="370"/>
      <c r="T279" s="370"/>
      <c r="U279" s="370"/>
      <c r="V279" s="370"/>
    </row>
    <row r="280" spans="1:22" x14ac:dyDescent="0.3">
      <c r="A280" s="370"/>
      <c r="B280" s="370" t="s">
        <v>178</v>
      </c>
      <c r="C280" s="368">
        <f>IFERROR((C278-C279)/C279,0)</f>
        <v>0</v>
      </c>
      <c r="D280" s="371">
        <f>100-D279</f>
        <v>83.79330387783418</v>
      </c>
      <c r="E280" s="371">
        <v>2</v>
      </c>
      <c r="F280" s="370"/>
      <c r="G280" s="370"/>
      <c r="H280" s="370"/>
      <c r="I280" s="370"/>
      <c r="J280" s="370"/>
      <c r="K280" s="370"/>
      <c r="L280" s="370"/>
      <c r="M280" s="370"/>
      <c r="N280" s="370"/>
      <c r="O280" s="370"/>
      <c r="P280" s="370"/>
      <c r="Q280" s="370"/>
      <c r="R280" s="370"/>
      <c r="S280" s="370"/>
      <c r="T280" s="370"/>
      <c r="U280" s="370"/>
      <c r="V280" s="370"/>
    </row>
    <row r="281" spans="1:22" x14ac:dyDescent="0.3">
      <c r="A281" s="370"/>
      <c r="B281" s="370"/>
      <c r="C281" s="370"/>
      <c r="D281" s="371">
        <v>100</v>
      </c>
      <c r="E281" s="371">
        <f>200-E279-E280</f>
        <v>181.79330387783418</v>
      </c>
      <c r="F281" s="370"/>
      <c r="G281" s="370"/>
      <c r="H281" s="370"/>
      <c r="I281" s="370"/>
      <c r="J281" s="370"/>
      <c r="K281" s="370"/>
      <c r="L281" s="370"/>
      <c r="M281" s="370"/>
      <c r="N281" s="370"/>
      <c r="O281" s="370"/>
      <c r="P281" s="370"/>
      <c r="Q281" s="370"/>
      <c r="R281" s="370"/>
      <c r="S281" s="370"/>
      <c r="T281" s="370"/>
      <c r="U281" s="370"/>
      <c r="V281" s="370"/>
    </row>
    <row r="282" spans="1:22" x14ac:dyDescent="0.3">
      <c r="A282" s="370"/>
      <c r="B282" s="370" t="s">
        <v>194</v>
      </c>
      <c r="C282" s="368">
        <f>INDEX('Forecast Model'!$H$239:$Q$239, MATCH(Outputs!$F$31, $C$175:$L$175, 0))</f>
        <v>0.14052687407310049</v>
      </c>
      <c r="D282" s="370" t="s">
        <v>293</v>
      </c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370"/>
      <c r="P282" s="370"/>
      <c r="Q282" s="370"/>
      <c r="R282" s="370"/>
      <c r="S282" s="370"/>
      <c r="T282" s="370"/>
      <c r="U282" s="370"/>
      <c r="V282" s="370"/>
    </row>
    <row r="283" spans="1:22" x14ac:dyDescent="0.3">
      <c r="A283" s="370"/>
      <c r="B283" s="370" t="s">
        <v>297</v>
      </c>
      <c r="C283" s="368">
        <f>IFERROR(INDEX('Forecast Model'!$H$239:$Q$239, MATCH(Outputs!$F$31-1, $C$175:$L$175, 0)),0)</f>
        <v>0</v>
      </c>
      <c r="D283" s="373">
        <f>C282*100</f>
        <v>14.052687407310049</v>
      </c>
      <c r="E283" s="373">
        <f>D283</f>
        <v>14.052687407310049</v>
      </c>
      <c r="F283" s="370"/>
      <c r="G283" s="370"/>
      <c r="H283" s="370"/>
      <c r="I283" s="370"/>
      <c r="J283" s="370"/>
      <c r="K283" s="370"/>
      <c r="L283" s="370"/>
      <c r="M283" s="370"/>
      <c r="N283" s="370"/>
      <c r="O283" s="370"/>
      <c r="P283" s="370"/>
      <c r="Q283" s="370"/>
      <c r="R283" s="370"/>
      <c r="S283" s="370"/>
      <c r="T283" s="370"/>
      <c r="U283" s="370"/>
      <c r="V283" s="370"/>
    </row>
    <row r="284" spans="1:22" x14ac:dyDescent="0.3">
      <c r="A284" s="370"/>
      <c r="B284" s="370" t="s">
        <v>178</v>
      </c>
      <c r="C284" s="368">
        <f>IFERROR((C282-C283)/C283,0)</f>
        <v>0</v>
      </c>
      <c r="D284" s="371">
        <f>100-D283</f>
        <v>85.947312592689954</v>
      </c>
      <c r="E284" s="371">
        <v>2</v>
      </c>
      <c r="F284" s="370"/>
      <c r="G284" s="370"/>
      <c r="H284" s="370"/>
      <c r="I284" s="370"/>
      <c r="J284" s="370"/>
      <c r="K284" s="370"/>
      <c r="L284" s="370"/>
      <c r="M284" s="370"/>
      <c r="N284" s="370"/>
      <c r="O284" s="370"/>
      <c r="P284" s="370"/>
      <c r="Q284" s="370"/>
      <c r="R284" s="370"/>
      <c r="S284" s="370"/>
      <c r="T284" s="370"/>
      <c r="U284" s="370"/>
      <c r="V284" s="370"/>
    </row>
    <row r="285" spans="1:22" x14ac:dyDescent="0.3">
      <c r="A285" s="370"/>
      <c r="B285" s="370"/>
      <c r="C285" s="370"/>
      <c r="D285" s="371">
        <v>100</v>
      </c>
      <c r="E285" s="371">
        <f>200-E283-E284</f>
        <v>183.94731259268994</v>
      </c>
      <c r="F285" s="370"/>
      <c r="G285" s="370"/>
      <c r="H285" s="370"/>
      <c r="I285" s="370"/>
      <c r="J285" s="370"/>
      <c r="K285" s="370"/>
      <c r="L285" s="370"/>
      <c r="M285" s="370"/>
      <c r="N285" s="370"/>
      <c r="O285" s="370"/>
      <c r="P285" s="370"/>
      <c r="Q285" s="370"/>
      <c r="R285" s="370"/>
      <c r="S285" s="370"/>
      <c r="T285" s="370"/>
      <c r="U285" s="370"/>
      <c r="V285" s="370"/>
    </row>
    <row r="286" spans="1:22" x14ac:dyDescent="0.3">
      <c r="A286" s="370"/>
      <c r="B286" s="370" t="s">
        <v>299</v>
      </c>
      <c r="C286" s="368">
        <f>INDEX('Formula Audit'!$C$213:$L$213, MATCH(Outputs!$F$31, $C$175:$L$175, 0))</f>
        <v>0.30592763530561862</v>
      </c>
      <c r="D286" s="370" t="s">
        <v>293</v>
      </c>
      <c r="E286" s="370"/>
      <c r="F286" s="370"/>
      <c r="G286" s="370"/>
      <c r="H286" s="370"/>
      <c r="I286" s="370"/>
      <c r="J286" s="370"/>
      <c r="K286" s="370"/>
      <c r="L286" s="370"/>
      <c r="M286" s="370"/>
      <c r="N286" s="370"/>
      <c r="O286" s="370"/>
      <c r="P286" s="370"/>
      <c r="Q286" s="370"/>
      <c r="R286" s="370"/>
      <c r="S286" s="370"/>
      <c r="T286" s="370"/>
      <c r="U286" s="370"/>
      <c r="V286" s="370"/>
    </row>
    <row r="287" spans="1:22" x14ac:dyDescent="0.3">
      <c r="A287" s="370"/>
      <c r="B287" s="370"/>
      <c r="C287" s="368"/>
      <c r="D287" s="373">
        <f>C286*100</f>
        <v>30.592763530561861</v>
      </c>
      <c r="E287" s="373">
        <f>D287</f>
        <v>30.592763530561861</v>
      </c>
      <c r="F287" s="370"/>
      <c r="G287" s="370"/>
      <c r="H287" s="370"/>
      <c r="I287" s="370"/>
      <c r="J287" s="370"/>
      <c r="K287" s="370"/>
      <c r="L287" s="370"/>
      <c r="M287" s="370"/>
      <c r="N287" s="370"/>
      <c r="O287" s="370"/>
      <c r="P287" s="370"/>
      <c r="Q287" s="370"/>
      <c r="R287" s="370"/>
      <c r="S287" s="370"/>
      <c r="T287" s="370"/>
      <c r="U287" s="370"/>
      <c r="V287" s="370"/>
    </row>
    <row r="288" spans="1:22" x14ac:dyDescent="0.3">
      <c r="A288" s="370"/>
      <c r="B288" s="370"/>
      <c r="C288" s="368"/>
      <c r="D288" s="371">
        <f>100-D287</f>
        <v>69.407236469438146</v>
      </c>
      <c r="E288" s="371">
        <v>2</v>
      </c>
      <c r="F288" s="370"/>
      <c r="G288" s="370"/>
      <c r="H288" s="370"/>
      <c r="I288" s="370"/>
      <c r="J288" s="370"/>
      <c r="K288" s="370"/>
      <c r="L288" s="370"/>
      <c r="M288" s="370"/>
      <c r="N288" s="370"/>
      <c r="O288" s="370"/>
      <c r="P288" s="370"/>
      <c r="Q288" s="370"/>
      <c r="R288" s="370"/>
      <c r="S288" s="370"/>
      <c r="T288" s="370"/>
      <c r="U288" s="370"/>
      <c r="V288" s="370"/>
    </row>
    <row r="289" spans="1:22" x14ac:dyDescent="0.3">
      <c r="A289" s="370"/>
      <c r="B289" s="370"/>
      <c r="C289" s="370"/>
      <c r="D289" s="371">
        <v>100</v>
      </c>
      <c r="E289" s="371">
        <f>200-E287-E288</f>
        <v>167.40723646943815</v>
      </c>
      <c r="F289" s="370"/>
      <c r="G289" s="370"/>
      <c r="H289" s="370"/>
      <c r="I289" s="370"/>
      <c r="J289" s="370"/>
      <c r="K289" s="370"/>
      <c r="L289" s="370"/>
      <c r="M289" s="370"/>
      <c r="N289" s="370"/>
      <c r="O289" s="370"/>
      <c r="P289" s="370"/>
      <c r="Q289" s="370"/>
      <c r="R289" s="370"/>
      <c r="S289" s="370"/>
      <c r="T289" s="370"/>
      <c r="U289" s="370"/>
      <c r="V289" s="370"/>
    </row>
    <row r="290" spans="1:22" x14ac:dyDescent="0.3">
      <c r="A290" s="370"/>
      <c r="B290" s="370" t="s">
        <v>300</v>
      </c>
      <c r="C290" s="368">
        <f>INDEX('Formula Audit'!$C$214:$L$214, MATCH(Outputs!$F$31, $C$175:$L$175, 0))</f>
        <v>0.20113072039231675</v>
      </c>
      <c r="D290" s="370" t="s">
        <v>293</v>
      </c>
      <c r="E290" s="370"/>
      <c r="F290" s="370"/>
      <c r="G290" s="370"/>
      <c r="H290" s="370"/>
      <c r="I290" s="370"/>
      <c r="J290" s="370"/>
      <c r="K290" s="370"/>
      <c r="L290" s="370"/>
      <c r="M290" s="370"/>
      <c r="N290" s="370"/>
      <c r="O290" s="370"/>
      <c r="P290" s="370"/>
      <c r="Q290" s="370"/>
      <c r="R290" s="370"/>
      <c r="S290" s="370"/>
      <c r="T290" s="370"/>
      <c r="U290" s="370"/>
      <c r="V290" s="370"/>
    </row>
    <row r="291" spans="1:22" x14ac:dyDescent="0.3">
      <c r="A291" s="370"/>
      <c r="B291" s="370"/>
      <c r="C291" s="368"/>
      <c r="D291" s="373">
        <f>C290*100</f>
        <v>20.113072039231675</v>
      </c>
      <c r="E291" s="373">
        <f>D291</f>
        <v>20.113072039231675</v>
      </c>
      <c r="F291" s="370"/>
      <c r="G291" s="370"/>
      <c r="H291" s="370"/>
      <c r="I291" s="370"/>
      <c r="J291" s="370"/>
      <c r="K291" s="370"/>
      <c r="L291" s="370"/>
      <c r="M291" s="370"/>
      <c r="N291" s="370"/>
      <c r="O291" s="370"/>
      <c r="P291" s="370"/>
      <c r="Q291" s="370"/>
      <c r="R291" s="370"/>
      <c r="S291" s="370"/>
      <c r="T291" s="370"/>
      <c r="U291" s="370"/>
      <c r="V291" s="370"/>
    </row>
    <row r="292" spans="1:22" x14ac:dyDescent="0.3">
      <c r="A292" s="370"/>
      <c r="B292" s="370"/>
      <c r="C292" s="368"/>
      <c r="D292" s="371">
        <f>100-D291</f>
        <v>79.886927960768332</v>
      </c>
      <c r="E292" s="371">
        <v>2</v>
      </c>
      <c r="F292" s="370"/>
      <c r="G292" s="370"/>
      <c r="H292" s="370"/>
      <c r="I292" s="370"/>
      <c r="J292" s="370"/>
      <c r="K292" s="370"/>
      <c r="L292" s="370"/>
      <c r="M292" s="370"/>
      <c r="N292" s="370"/>
      <c r="O292" s="370"/>
      <c r="P292" s="370"/>
      <c r="Q292" s="370"/>
      <c r="R292" s="370"/>
      <c r="S292" s="370"/>
      <c r="T292" s="370"/>
      <c r="U292" s="370"/>
      <c r="V292" s="370"/>
    </row>
    <row r="293" spans="1:22" x14ac:dyDescent="0.3">
      <c r="A293" s="370"/>
      <c r="B293" s="370"/>
      <c r="C293" s="370"/>
      <c r="D293" s="371">
        <v>100</v>
      </c>
      <c r="E293" s="371">
        <f>200-E291-E292</f>
        <v>177.88692796076833</v>
      </c>
      <c r="F293" s="370"/>
      <c r="G293" s="370"/>
      <c r="H293" s="370"/>
      <c r="I293" s="370"/>
      <c r="J293" s="370"/>
      <c r="K293" s="370"/>
      <c r="L293" s="370"/>
      <c r="M293" s="370"/>
      <c r="N293" s="370"/>
      <c r="O293" s="370"/>
      <c r="P293" s="370"/>
      <c r="Q293" s="370"/>
      <c r="R293" s="370"/>
      <c r="S293" s="370"/>
      <c r="T293" s="370"/>
      <c r="U293" s="370"/>
      <c r="V293" s="370"/>
    </row>
    <row r="294" spans="1:22" x14ac:dyDescent="0.3">
      <c r="A294" s="370"/>
      <c r="B294" s="370"/>
      <c r="C294" s="370"/>
      <c r="D294" s="370"/>
      <c r="E294" s="370"/>
      <c r="F294" s="370"/>
      <c r="G294" s="370"/>
      <c r="H294" s="370"/>
      <c r="I294" s="370"/>
      <c r="J294" s="370"/>
      <c r="K294" s="370"/>
      <c r="L294" s="370"/>
      <c r="M294" s="370"/>
      <c r="N294" s="370"/>
      <c r="O294" s="370"/>
      <c r="P294" s="370"/>
      <c r="Q294" s="370"/>
      <c r="R294" s="370"/>
      <c r="S294" s="370"/>
      <c r="T294" s="370"/>
      <c r="U294" s="370"/>
      <c r="V294" s="370"/>
    </row>
    <row r="295" spans="1:22" x14ac:dyDescent="0.3">
      <c r="A295" s="370"/>
      <c r="B295" s="370"/>
      <c r="C295" s="370"/>
      <c r="D295" s="370"/>
      <c r="E295" s="370"/>
      <c r="F295" s="370"/>
      <c r="G295" s="370"/>
      <c r="H295" s="370"/>
      <c r="I295" s="370"/>
      <c r="J295" s="370"/>
      <c r="K295" s="370"/>
      <c r="L295" s="370"/>
      <c r="M295" s="370"/>
      <c r="N295" s="370"/>
      <c r="O295" s="370"/>
      <c r="P295" s="370"/>
      <c r="Q295" s="370"/>
      <c r="R295" s="370"/>
      <c r="S295" s="370"/>
      <c r="T295" s="370"/>
      <c r="U295" s="370"/>
      <c r="V295" s="370"/>
    </row>
    <row r="296" spans="1:22" x14ac:dyDescent="0.3">
      <c r="A296" s="370"/>
      <c r="B296" s="370"/>
      <c r="C296" s="370"/>
      <c r="D296" s="370"/>
      <c r="E296" s="370"/>
      <c r="F296" s="370"/>
      <c r="G296" s="370"/>
      <c r="H296" s="370"/>
      <c r="I296" s="370"/>
      <c r="J296" s="370"/>
      <c r="K296" s="370"/>
      <c r="L296" s="370"/>
      <c r="M296" s="370"/>
      <c r="N296" s="370"/>
      <c r="O296" s="370"/>
      <c r="P296" s="370"/>
      <c r="Q296" s="370"/>
      <c r="R296" s="370"/>
      <c r="S296" s="370"/>
      <c r="T296" s="370"/>
      <c r="U296" s="370"/>
      <c r="V296" s="370"/>
    </row>
    <row r="297" spans="1:22" x14ac:dyDescent="0.3">
      <c r="A297" s="370"/>
      <c r="B297" s="370" t="s">
        <v>301</v>
      </c>
      <c r="C297" s="378" cm="1">
        <f t="array" ref="C297">INDEX(('Forecast Model'!$H$261:$Q$261/'Forecast Model'!$H$225:$Q$225)*'Forecast Model'!$F$106, MATCH(Outputs!$F$31, $C$175:$L$175, 0))</f>
        <v>0</v>
      </c>
      <c r="D297" s="370" t="s">
        <v>293</v>
      </c>
      <c r="E297" s="370"/>
      <c r="F297" s="370"/>
      <c r="G297" s="370"/>
      <c r="H297" s="370"/>
      <c r="I297" s="370"/>
      <c r="J297" s="370"/>
      <c r="K297" s="370"/>
      <c r="L297" s="370"/>
      <c r="M297" s="370"/>
      <c r="N297" s="370"/>
      <c r="O297" s="370"/>
      <c r="P297" s="370"/>
      <c r="Q297" s="370"/>
      <c r="R297" s="370"/>
      <c r="S297" s="370"/>
      <c r="T297" s="370"/>
      <c r="U297" s="370"/>
      <c r="V297" s="370"/>
    </row>
    <row r="298" spans="1:22" x14ac:dyDescent="0.3">
      <c r="A298" s="370"/>
      <c r="B298" s="370" t="s">
        <v>297</v>
      </c>
      <c r="C298" s="378" cm="1">
        <f t="array" ref="C298">IFERROR(INDEX(('Forecast Model'!$H$261:$Q$261/'Forecast Model'!$H$225:$Q$225)*'Forecast Model'!$F$106, MATCH(Outputs!$F$31-1, $C$175:$L$175, 0)),0)</f>
        <v>0</v>
      </c>
      <c r="D298" s="373">
        <f>C297</f>
        <v>0</v>
      </c>
      <c r="E298" s="373">
        <f>D298</f>
        <v>0</v>
      </c>
      <c r="F298" s="370"/>
      <c r="G298" s="370"/>
      <c r="H298" s="370"/>
      <c r="I298" s="370"/>
      <c r="J298" s="370"/>
      <c r="K298" s="370"/>
      <c r="L298" s="370"/>
      <c r="M298" s="370"/>
      <c r="N298" s="370"/>
      <c r="O298" s="370"/>
      <c r="P298" s="370"/>
      <c r="Q298" s="370"/>
      <c r="R298" s="370"/>
      <c r="S298" s="370"/>
      <c r="T298" s="370"/>
      <c r="U298" s="370"/>
      <c r="V298" s="370"/>
    </row>
    <row r="299" spans="1:22" x14ac:dyDescent="0.3">
      <c r="A299" s="370"/>
      <c r="B299" s="370" t="s">
        <v>178</v>
      </c>
      <c r="C299" s="368">
        <f>IFERROR((C297-C298)/C298,0)</f>
        <v>0</v>
      </c>
      <c r="D299" s="371">
        <f>100-D298</f>
        <v>100</v>
      </c>
      <c r="E299" s="371">
        <v>2</v>
      </c>
      <c r="F299" s="370"/>
      <c r="G299" s="370"/>
      <c r="H299" s="370"/>
      <c r="I299" s="370"/>
      <c r="J299" s="370"/>
      <c r="K299" s="370"/>
      <c r="L299" s="370"/>
      <c r="M299" s="370"/>
      <c r="N299" s="370"/>
      <c r="O299" s="370"/>
      <c r="P299" s="370"/>
      <c r="Q299" s="370"/>
      <c r="R299" s="370"/>
      <c r="S299" s="370"/>
      <c r="T299" s="370"/>
      <c r="U299" s="370"/>
      <c r="V299" s="370"/>
    </row>
    <row r="300" spans="1:22" x14ac:dyDescent="0.3">
      <c r="A300" s="370"/>
      <c r="B300" s="370"/>
      <c r="C300" s="370"/>
      <c r="D300" s="371">
        <v>100</v>
      </c>
      <c r="E300" s="371">
        <f>200-E298-E299</f>
        <v>198</v>
      </c>
      <c r="F300" s="370"/>
      <c r="G300" s="370"/>
      <c r="H300" s="370"/>
      <c r="I300" s="370"/>
      <c r="J300" s="370"/>
      <c r="K300" s="370"/>
      <c r="L300" s="370"/>
      <c r="M300" s="370"/>
      <c r="N300" s="370"/>
      <c r="O300" s="370"/>
      <c r="P300" s="370"/>
      <c r="Q300" s="370"/>
      <c r="R300" s="370"/>
      <c r="S300" s="370"/>
      <c r="T300" s="370"/>
      <c r="U300" s="370"/>
      <c r="V300" s="370"/>
    </row>
    <row r="301" spans="1:22" x14ac:dyDescent="0.3">
      <c r="A301" s="370"/>
      <c r="B301" s="370" t="s">
        <v>302</v>
      </c>
      <c r="C301" s="378" cm="1">
        <f t="array" ref="C301">INDEX(('Forecast Model'!$H$252:$Q$252/'Forecast Model'!$H$225:$Q$225)*'Forecast Model'!$F$106, MATCH(Outputs!$F$31, $C$175:$L$175, 0))</f>
        <v>0</v>
      </c>
      <c r="D301" s="370" t="s">
        <v>293</v>
      </c>
      <c r="E301" s="370"/>
      <c r="F301" s="370"/>
      <c r="G301" s="370"/>
      <c r="H301" s="370"/>
      <c r="I301" s="370"/>
      <c r="J301" s="370"/>
      <c r="K301" s="370"/>
      <c r="L301" s="370"/>
      <c r="M301" s="370"/>
      <c r="N301" s="370"/>
      <c r="O301" s="370"/>
      <c r="P301" s="370"/>
      <c r="Q301" s="370"/>
      <c r="R301" s="370"/>
      <c r="S301" s="370"/>
      <c r="T301" s="370"/>
      <c r="U301" s="370"/>
      <c r="V301" s="370"/>
    </row>
    <row r="302" spans="1:22" x14ac:dyDescent="0.3">
      <c r="A302" s="370"/>
      <c r="B302" s="370" t="s">
        <v>297</v>
      </c>
      <c r="C302" s="378" cm="1">
        <f t="array" ref="C302">INDEX(('Forecast Model'!$H$252:$Q$252/'Forecast Model'!$H$225:$Q$225)*'Forecast Model'!$F$106-1, MATCH(Outputs!$F$31, $C$175:$L$175, 0))</f>
        <v>-1</v>
      </c>
      <c r="D302" s="373">
        <f>C301</f>
        <v>0</v>
      </c>
      <c r="E302" s="373">
        <f>D302</f>
        <v>0</v>
      </c>
      <c r="F302" s="370"/>
      <c r="G302" s="370"/>
      <c r="H302" s="370"/>
      <c r="I302" s="370"/>
      <c r="J302" s="370"/>
      <c r="K302" s="370"/>
      <c r="L302" s="370"/>
      <c r="M302" s="370"/>
      <c r="N302" s="370"/>
      <c r="O302" s="370"/>
      <c r="P302" s="370"/>
      <c r="Q302" s="370"/>
      <c r="R302" s="370"/>
      <c r="S302" s="370"/>
      <c r="T302" s="370"/>
      <c r="U302" s="370"/>
      <c r="V302" s="370"/>
    </row>
    <row r="303" spans="1:22" x14ac:dyDescent="0.3">
      <c r="A303" s="370"/>
      <c r="B303" s="370" t="s">
        <v>178</v>
      </c>
      <c r="C303" s="368">
        <f>IFERROR((C301-C302)/C302,0)</f>
        <v>-1</v>
      </c>
      <c r="D303" s="371">
        <f>100-D302</f>
        <v>100</v>
      </c>
      <c r="E303" s="371">
        <v>2</v>
      </c>
      <c r="F303" s="370"/>
      <c r="G303" s="370"/>
      <c r="H303" s="370"/>
      <c r="I303" s="370"/>
      <c r="J303" s="370"/>
      <c r="K303" s="370"/>
      <c r="L303" s="370"/>
      <c r="M303" s="370"/>
      <c r="N303" s="370"/>
      <c r="O303" s="370"/>
      <c r="P303" s="370"/>
      <c r="Q303" s="370"/>
      <c r="R303" s="370"/>
      <c r="S303" s="370"/>
      <c r="T303" s="370"/>
      <c r="U303" s="370"/>
      <c r="V303" s="370"/>
    </row>
    <row r="304" spans="1:22" x14ac:dyDescent="0.3">
      <c r="A304" s="370"/>
      <c r="B304" s="370"/>
      <c r="C304" s="370"/>
      <c r="D304" s="371">
        <v>100</v>
      </c>
      <c r="E304" s="371">
        <f>200-E302-E303</f>
        <v>198</v>
      </c>
      <c r="F304" s="370"/>
      <c r="G304" s="370"/>
      <c r="H304" s="370"/>
      <c r="I304" s="370"/>
      <c r="J304" s="370"/>
      <c r="K304" s="370"/>
      <c r="L304" s="370"/>
      <c r="M304" s="370"/>
      <c r="N304" s="370"/>
      <c r="O304" s="370"/>
      <c r="P304" s="370"/>
      <c r="Q304" s="370"/>
      <c r="R304" s="370"/>
      <c r="S304" s="370"/>
      <c r="T304" s="370"/>
      <c r="U304" s="370"/>
      <c r="V304" s="370"/>
    </row>
    <row r="305" spans="1:22" x14ac:dyDescent="0.3">
      <c r="A305" s="370"/>
      <c r="B305" s="370"/>
      <c r="C305" s="381">
        <f>INDEX('Forecast Model'!$H$216:$Q$216, MATCH(Outputs!$F$31, $C$175:$L$175, 0))</f>
        <v>2025</v>
      </c>
      <c r="D305" s="370"/>
      <c r="E305" s="370"/>
      <c r="F305" s="370"/>
      <c r="G305" s="370"/>
      <c r="H305" s="370"/>
      <c r="I305" s="370"/>
      <c r="J305" s="370"/>
      <c r="K305" s="370"/>
      <c r="L305" s="370"/>
      <c r="M305" s="370"/>
      <c r="N305" s="370"/>
      <c r="O305" s="370"/>
      <c r="P305" s="370"/>
      <c r="Q305" s="370"/>
      <c r="R305" s="370"/>
      <c r="S305" s="370"/>
      <c r="T305" s="370"/>
      <c r="U305" s="370"/>
      <c r="V305" s="370"/>
    </row>
    <row r="306" spans="1:22" x14ac:dyDescent="0.3">
      <c r="A306" s="370"/>
      <c r="B306" s="370" t="s">
        <v>98</v>
      </c>
      <c r="C306" s="381">
        <f>INDEX('Forecast Model'!$H$219:$Q$219, MATCH(Outputs!$F$31, $C$175:$L$175, 0))</f>
        <v>402045.22406400001</v>
      </c>
      <c r="D306" s="370"/>
      <c r="E306" s="370"/>
      <c r="F306" s="370"/>
      <c r="G306" s="370"/>
      <c r="H306" s="370"/>
      <c r="I306" s="370"/>
      <c r="J306" s="370"/>
      <c r="K306" s="370"/>
      <c r="L306" s="370"/>
      <c r="M306" s="370"/>
      <c r="N306" s="370"/>
      <c r="O306" s="370"/>
      <c r="P306" s="370"/>
      <c r="Q306" s="370"/>
      <c r="R306" s="370"/>
      <c r="S306" s="370"/>
      <c r="T306" s="370"/>
      <c r="U306" s="370"/>
      <c r="V306" s="370"/>
    </row>
    <row r="307" spans="1:22" x14ac:dyDescent="0.3">
      <c r="A307" s="370"/>
      <c r="B307" s="370" t="s">
        <v>121</v>
      </c>
      <c r="C307" s="381">
        <f>INDEX('Forecast Model'!$H$225:$Q$225, MATCH(Outputs!$F$31, $C$175:$L$175, 0))</f>
        <v>222836.09936974532</v>
      </c>
      <c r="D307" s="370"/>
      <c r="E307" s="370"/>
      <c r="F307" s="370"/>
      <c r="G307" s="370"/>
      <c r="H307" s="370"/>
      <c r="I307" s="370"/>
      <c r="J307" s="370"/>
      <c r="K307" s="370"/>
      <c r="L307" s="370"/>
      <c r="M307" s="370"/>
      <c r="N307" s="370"/>
      <c r="O307" s="370"/>
      <c r="P307" s="370"/>
      <c r="Q307" s="370"/>
      <c r="R307" s="370"/>
      <c r="S307" s="370"/>
      <c r="T307" s="370"/>
      <c r="U307" s="370"/>
      <c r="V307" s="370"/>
    </row>
    <row r="308" spans="1:22" x14ac:dyDescent="0.3">
      <c r="A308" s="370"/>
      <c r="B308" s="370" t="s">
        <v>122</v>
      </c>
      <c r="C308" s="381">
        <f>INDEX('Forecast Model'!$H$227:$Q$227, MATCH(Outputs!$F$31, $C$175:$L$175, 0))</f>
        <v>179209.12469425469</v>
      </c>
      <c r="D308" s="370"/>
      <c r="E308" s="370"/>
      <c r="F308" s="370"/>
      <c r="G308" s="370"/>
      <c r="H308" s="370"/>
      <c r="I308" s="370"/>
      <c r="J308" s="370"/>
      <c r="K308" s="370"/>
      <c r="L308" s="370"/>
      <c r="M308" s="370"/>
      <c r="N308" s="370"/>
      <c r="O308" s="370"/>
      <c r="P308" s="370"/>
      <c r="Q308" s="370"/>
      <c r="R308" s="370"/>
      <c r="S308" s="370"/>
      <c r="T308" s="370"/>
      <c r="U308" s="370"/>
      <c r="V308" s="370"/>
    </row>
    <row r="309" spans="1:22" x14ac:dyDescent="0.3">
      <c r="A309" s="370"/>
      <c r="B309" s="370" t="s">
        <v>124</v>
      </c>
      <c r="C309" s="381">
        <f>INDEX('Forecast Model'!$H$235:$Q$235, MATCH(Outputs!$F$31, $C$175:$L$175, 0))</f>
        <v>122710.96612052148</v>
      </c>
      <c r="D309" s="370"/>
      <c r="E309" s="370"/>
      <c r="F309" s="370"/>
      <c r="G309" s="370"/>
      <c r="H309" s="370"/>
      <c r="I309" s="370"/>
      <c r="J309" s="370"/>
      <c r="K309" s="370"/>
      <c r="L309" s="370"/>
      <c r="M309" s="370"/>
      <c r="N309" s="370"/>
      <c r="O309" s="370"/>
      <c r="P309" s="370"/>
      <c r="Q309" s="370"/>
      <c r="R309" s="370"/>
      <c r="S309" s="370"/>
      <c r="T309" s="370"/>
      <c r="U309" s="370"/>
      <c r="V309" s="370"/>
    </row>
    <row r="310" spans="1:22" x14ac:dyDescent="0.3">
      <c r="A310" s="370"/>
      <c r="B310" s="370" t="s">
        <v>125</v>
      </c>
      <c r="C310" s="381">
        <f>INDEX('Forecast Model'!$H$238:$Q$238, MATCH(Outputs!$F$31, $C$175:$L$175, 0))</f>
        <v>56498.158573733206</v>
      </c>
      <c r="D310" s="370"/>
      <c r="E310" s="370"/>
      <c r="F310" s="370"/>
      <c r="G310" s="370"/>
      <c r="H310" s="370"/>
      <c r="I310" s="370"/>
      <c r="J310" s="370"/>
      <c r="K310" s="370"/>
      <c r="L310" s="370"/>
      <c r="M310" s="370"/>
      <c r="N310" s="370"/>
      <c r="O310" s="370"/>
      <c r="P310" s="370"/>
      <c r="Q310" s="370"/>
      <c r="R310" s="370"/>
      <c r="S310" s="370"/>
      <c r="T310" s="370"/>
      <c r="U310" s="370"/>
      <c r="V310" s="370"/>
    </row>
    <row r="311" spans="1:22" x14ac:dyDescent="0.3">
      <c r="A311" s="370"/>
      <c r="B311" s="370" t="s">
        <v>127</v>
      </c>
      <c r="C311" s="381">
        <f>INDEX('Forecast Model'!$H$241:$Q$241, MATCH(Outputs!$F$31, $C$175:$L$175, 0))</f>
        <v>4295.191883781923</v>
      </c>
      <c r="D311" s="370"/>
      <c r="E311" s="370"/>
      <c r="F311" s="370"/>
      <c r="G311" s="370"/>
      <c r="H311" s="370"/>
      <c r="I311" s="370"/>
      <c r="J311" s="370"/>
      <c r="K311" s="370"/>
      <c r="L311" s="370"/>
      <c r="M311" s="370"/>
      <c r="N311" s="370"/>
      <c r="O311" s="370"/>
      <c r="P311" s="370"/>
      <c r="Q311" s="370"/>
      <c r="R311" s="370"/>
      <c r="S311" s="370"/>
      <c r="T311" s="370"/>
      <c r="U311" s="370"/>
      <c r="V311" s="370"/>
    </row>
    <row r="312" spans="1:22" x14ac:dyDescent="0.3">
      <c r="A312" s="370"/>
      <c r="B312" s="370" t="s">
        <v>128</v>
      </c>
      <c r="C312" s="381">
        <f>INDEX('Forecast Model'!$H$242:$Q$242, MATCH(Outputs!$F$31, $C$175:$L$175, 0))</f>
        <v>52202.966689951281</v>
      </c>
      <c r="D312" s="370"/>
      <c r="E312" s="370"/>
      <c r="F312" s="370"/>
      <c r="G312" s="370"/>
      <c r="H312" s="370"/>
      <c r="I312" s="370"/>
      <c r="J312" s="370"/>
      <c r="K312" s="370"/>
      <c r="L312" s="370"/>
      <c r="M312" s="370"/>
      <c r="N312" s="370"/>
      <c r="O312" s="370"/>
      <c r="P312" s="370"/>
      <c r="Q312" s="370"/>
      <c r="R312" s="370"/>
      <c r="S312" s="370"/>
      <c r="T312" s="370"/>
      <c r="U312" s="370"/>
      <c r="V312" s="370"/>
    </row>
    <row r="313" spans="1:22" x14ac:dyDescent="0.3">
      <c r="A313" s="370"/>
      <c r="B313" s="370" t="s">
        <v>129</v>
      </c>
      <c r="C313" s="381">
        <f>INDEX('Forecast Model'!$H$244:$Q$244, MATCH(Outputs!$F$31, $C$175:$L$175, 0))</f>
        <v>13825.120480366559</v>
      </c>
      <c r="D313" s="370"/>
      <c r="E313" s="370"/>
      <c r="F313" s="370"/>
      <c r="G313" s="370"/>
      <c r="H313" s="370"/>
      <c r="I313" s="370"/>
      <c r="J313" s="370"/>
      <c r="K313" s="370"/>
      <c r="L313" s="370"/>
      <c r="M313" s="370"/>
      <c r="N313" s="370"/>
      <c r="O313" s="370"/>
      <c r="P313" s="370"/>
      <c r="Q313" s="370"/>
      <c r="R313" s="370"/>
      <c r="S313" s="370"/>
      <c r="T313" s="370"/>
      <c r="U313" s="370"/>
      <c r="V313" s="370"/>
    </row>
    <row r="314" spans="1:22" x14ac:dyDescent="0.3">
      <c r="A314" s="370"/>
      <c r="B314" s="366" t="s">
        <v>130</v>
      </c>
      <c r="C314" s="381">
        <f>INDEX('Forecast Model'!$H$245:$Q$245, MATCH(Outputs!$F$31, $C$175:$L$175, 0))</f>
        <v>38377.846209584721</v>
      </c>
      <c r="D314" s="370"/>
      <c r="E314" s="370"/>
      <c r="F314" s="370"/>
      <c r="G314" s="370"/>
      <c r="H314" s="370"/>
      <c r="I314" s="370"/>
      <c r="J314" s="370"/>
      <c r="K314" s="370"/>
      <c r="L314" s="370"/>
      <c r="M314" s="370"/>
      <c r="N314" s="370"/>
      <c r="O314" s="370"/>
      <c r="P314" s="370"/>
      <c r="Q314" s="370"/>
      <c r="R314" s="370"/>
      <c r="S314" s="370"/>
      <c r="T314" s="370"/>
      <c r="U314" s="370"/>
      <c r="V314" s="370"/>
    </row>
    <row r="315" spans="1:22" x14ac:dyDescent="0.3">
      <c r="A315" s="370"/>
      <c r="B315" s="370"/>
      <c r="C315" s="370"/>
      <c r="D315" s="370"/>
      <c r="E315" s="370"/>
      <c r="F315" s="370"/>
      <c r="G315" s="370"/>
      <c r="H315" s="370"/>
      <c r="I315" s="370"/>
      <c r="J315" s="370"/>
      <c r="K315" s="370"/>
      <c r="L315" s="370"/>
      <c r="M315" s="370"/>
      <c r="N315" s="370"/>
      <c r="O315" s="370"/>
      <c r="P315" s="370"/>
      <c r="Q315" s="370"/>
      <c r="R315" s="370"/>
      <c r="S315" s="370"/>
      <c r="T315" s="370"/>
      <c r="U315" s="370"/>
      <c r="V315" s="370"/>
    </row>
    <row r="316" spans="1:22" x14ac:dyDescent="0.3">
      <c r="A316" s="370"/>
      <c r="B316" s="370" t="s">
        <v>151</v>
      </c>
      <c r="C316" s="381">
        <f>INDEX('Forecast Model'!$H$287:$Q$287, MATCH(Outputs!$F$31, $C$175:$L$175, 0))</f>
        <v>47037.935373584725</v>
      </c>
      <c r="D316" s="370"/>
      <c r="E316" s="370"/>
      <c r="F316" s="370"/>
      <c r="G316" s="370"/>
      <c r="H316" s="370"/>
      <c r="I316" s="370"/>
      <c r="J316" s="370"/>
      <c r="K316" s="370"/>
      <c r="L316" s="370"/>
      <c r="M316" s="370"/>
      <c r="N316" s="370"/>
      <c r="O316" s="370"/>
      <c r="P316" s="370"/>
      <c r="Q316" s="370"/>
      <c r="R316" s="370"/>
      <c r="S316" s="370"/>
      <c r="T316" s="370"/>
      <c r="U316" s="370"/>
      <c r="V316" s="370"/>
    </row>
    <row r="317" spans="1:22" x14ac:dyDescent="0.3">
      <c r="A317" s="370"/>
      <c r="B317" s="370" t="s">
        <v>154</v>
      </c>
      <c r="C317" s="381">
        <f>INDEX('Forecast Model'!$H$291:$Q$291, MATCH(Outputs!$F$31, $C$175:$L$175, 0))</f>
        <v>-20892</v>
      </c>
      <c r="D317" s="370"/>
      <c r="E317" s="370"/>
      <c r="F317" s="370"/>
      <c r="G317" s="370"/>
      <c r="H317" s="370"/>
      <c r="I317" s="370"/>
      <c r="J317" s="370"/>
      <c r="K317" s="370"/>
      <c r="L317" s="370"/>
      <c r="M317" s="370"/>
      <c r="N317" s="370"/>
      <c r="O317" s="370"/>
      <c r="P317" s="370"/>
      <c r="Q317" s="370"/>
      <c r="R317" s="370"/>
      <c r="S317" s="370"/>
      <c r="T317" s="370"/>
      <c r="U317" s="370"/>
      <c r="V317" s="370"/>
    </row>
    <row r="318" spans="1:22" x14ac:dyDescent="0.3">
      <c r="A318" s="370"/>
      <c r="B318" s="370" t="s">
        <v>158</v>
      </c>
      <c r="C318" s="381">
        <f>INDEX('Forecast Model'!$H$297:$Q$297, MATCH(Outputs!$F$31, $C$175:$L$175, 0))</f>
        <v>152432.61842121158</v>
      </c>
      <c r="D318" s="370"/>
      <c r="E318" s="370"/>
      <c r="F318" s="370"/>
      <c r="G318" s="370"/>
      <c r="H318" s="370"/>
      <c r="I318" s="370"/>
      <c r="J318" s="370"/>
      <c r="K318" s="370"/>
      <c r="L318" s="370"/>
      <c r="M318" s="370"/>
      <c r="N318" s="370"/>
      <c r="O318" s="370"/>
      <c r="P318" s="370"/>
      <c r="Q318" s="370"/>
      <c r="R318" s="370"/>
      <c r="S318" s="370"/>
      <c r="T318" s="370"/>
      <c r="U318" s="370"/>
      <c r="V318" s="370"/>
    </row>
    <row r="319" spans="1:22" x14ac:dyDescent="0.3">
      <c r="A319" s="370"/>
      <c r="B319" s="370" t="s">
        <v>160</v>
      </c>
      <c r="C319" s="381">
        <f>INDEX('Forecast Model'!$H$300:$Q$300, MATCH(Outputs!$F$31, $C$175:$L$175, 0))</f>
        <v>0</v>
      </c>
      <c r="D319" s="370"/>
      <c r="E319" s="370"/>
      <c r="F319" s="370"/>
      <c r="G319" s="370"/>
      <c r="H319" s="370"/>
      <c r="I319" s="370"/>
      <c r="J319" s="370"/>
      <c r="K319" s="370"/>
      <c r="L319" s="370"/>
      <c r="M319" s="370"/>
      <c r="N319" s="370"/>
      <c r="O319" s="370"/>
      <c r="P319" s="370"/>
      <c r="Q319" s="370"/>
      <c r="R319" s="370"/>
      <c r="S319" s="370"/>
      <c r="T319" s="370"/>
      <c r="U319" s="370"/>
      <c r="V319" s="370"/>
    </row>
    <row r="320" spans="1:22" x14ac:dyDescent="0.3">
      <c r="A320" s="370"/>
      <c r="B320" s="370" t="s">
        <v>161</v>
      </c>
      <c r="C320" s="381">
        <f>INDEX('Forecast Model'!$H$301:$Q$301, MATCH(Outputs!$F$31, $C$175:$L$175, 0))</f>
        <v>178578.55379479629</v>
      </c>
      <c r="D320" s="370"/>
      <c r="E320" s="370"/>
      <c r="F320" s="370"/>
      <c r="G320" s="370"/>
      <c r="H320" s="370"/>
      <c r="I320" s="370"/>
      <c r="J320" s="370"/>
      <c r="K320" s="370"/>
      <c r="L320" s="370"/>
      <c r="M320" s="370"/>
      <c r="N320" s="370"/>
      <c r="O320" s="370"/>
      <c r="P320" s="370"/>
      <c r="Q320" s="370"/>
      <c r="R320" s="370"/>
      <c r="S320" s="370"/>
      <c r="T320" s="370"/>
      <c r="U320" s="370"/>
      <c r="V320" s="370"/>
    </row>
    <row r="321" spans="1:22" x14ac:dyDescent="0.3">
      <c r="A321" s="370"/>
      <c r="B321" s="370"/>
      <c r="C321" s="370"/>
      <c r="D321" s="370"/>
      <c r="E321" s="370"/>
      <c r="F321" s="370"/>
      <c r="G321" s="370"/>
      <c r="H321" s="370"/>
      <c r="I321" s="370"/>
      <c r="J321" s="370"/>
      <c r="K321" s="370"/>
      <c r="L321" s="370"/>
      <c r="M321" s="370"/>
      <c r="N321" s="370"/>
      <c r="O321" s="370"/>
      <c r="P321" s="370"/>
      <c r="Q321" s="370"/>
      <c r="R321" s="370"/>
      <c r="S321" s="370"/>
      <c r="T321" s="370"/>
      <c r="U321" s="370"/>
      <c r="V321" s="370"/>
    </row>
    <row r="322" spans="1:22" x14ac:dyDescent="0.3">
      <c r="A322" s="370"/>
      <c r="B322" s="370" t="s">
        <v>303</v>
      </c>
      <c r="C322" s="371">
        <v>0</v>
      </c>
      <c r="D322" s="371">
        <v>0</v>
      </c>
      <c r="E322" s="371">
        <v>0</v>
      </c>
      <c r="F322" s="371">
        <v>0</v>
      </c>
      <c r="G322" s="371">
        <v>0</v>
      </c>
      <c r="H322" s="371">
        <v>0</v>
      </c>
      <c r="I322" s="371">
        <v>0</v>
      </c>
      <c r="J322" s="371">
        <v>0</v>
      </c>
      <c r="K322" s="371">
        <v>0</v>
      </c>
      <c r="L322" s="371">
        <v>0</v>
      </c>
      <c r="M322" s="370"/>
      <c r="N322" s="370"/>
      <c r="O322" s="370"/>
      <c r="P322" s="370"/>
      <c r="Q322" s="370"/>
      <c r="R322" s="370"/>
      <c r="S322" s="370"/>
      <c r="T322" s="370"/>
      <c r="U322" s="370"/>
      <c r="V322" s="370"/>
    </row>
    <row r="323" spans="1:22" x14ac:dyDescent="0.3">
      <c r="A323" s="370"/>
      <c r="B323" s="370" t="s">
        <v>304</v>
      </c>
      <c r="C323" s="371">
        <v>0</v>
      </c>
      <c r="D323" s="371">
        <v>-96498.173723</v>
      </c>
      <c r="E323" s="371">
        <v>-99337.128644863202</v>
      </c>
      <c r="F323" s="371">
        <v>-100999.28848938044</v>
      </c>
      <c r="G323" s="371">
        <v>-103056.41677662793</v>
      </c>
      <c r="H323" s="371">
        <v>-105345.20688963046</v>
      </c>
      <c r="I323" s="371">
        <v>-105600.8781193615</v>
      </c>
      <c r="J323" s="371">
        <v>-104666.60732295814</v>
      </c>
      <c r="K323" s="371">
        <v>-103396.6900062675</v>
      </c>
      <c r="L323" s="371">
        <v>-101930.25735793951</v>
      </c>
      <c r="M323" s="370"/>
      <c r="N323" s="370"/>
      <c r="O323" s="370"/>
      <c r="P323" s="370"/>
      <c r="Q323" s="370"/>
      <c r="R323" s="370"/>
      <c r="S323" s="370"/>
      <c r="T323" s="370"/>
      <c r="U323" s="370"/>
      <c r="V323" s="370"/>
    </row>
    <row r="324" spans="1:22" x14ac:dyDescent="0.3">
      <c r="A324" s="370"/>
      <c r="B324" s="370" t="s">
        <v>305</v>
      </c>
      <c r="C324" s="371">
        <v>0</v>
      </c>
      <c r="D324" s="371">
        <v>-96498.173723</v>
      </c>
      <c r="E324" s="371">
        <v>-99337.128644863202</v>
      </c>
      <c r="F324" s="371">
        <v>-100999.28848938044</v>
      </c>
      <c r="G324" s="371">
        <v>-103056.41677662793</v>
      </c>
      <c r="H324" s="371">
        <v>-105345.20688963046</v>
      </c>
      <c r="I324" s="371">
        <v>-105600.8781193615</v>
      </c>
      <c r="J324" s="371">
        <v>-104666.60732295814</v>
      </c>
      <c r="K324" s="371">
        <v>-103396.6900062675</v>
      </c>
      <c r="L324" s="371">
        <v>-101930.25735793951</v>
      </c>
      <c r="M324" s="370"/>
      <c r="N324" s="370"/>
      <c r="O324" s="370"/>
      <c r="P324" s="370"/>
      <c r="Q324" s="370"/>
      <c r="R324" s="370"/>
      <c r="S324" s="370"/>
      <c r="T324" s="370"/>
      <c r="U324" s="370"/>
      <c r="V324" s="3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Control Center</vt:lpstr>
      <vt:lpstr>Forecast Model</vt:lpstr>
      <vt:lpstr>Outputs</vt:lpstr>
      <vt:lpstr>Valuation &amp; Breakeven</vt:lpstr>
      <vt:lpstr>Formula Audit</vt:lpstr>
      <vt:lpstr>Scenarios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2024-09-25T07:59:39Z</dcterms:created>
  <dcterms:modified xsi:type="dcterms:W3CDTF">2026-07-17T17:43:28Z</dcterms:modified>
</cp:coreProperties>
</file>