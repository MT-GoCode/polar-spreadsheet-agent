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13_ncr:1_{B26A6D30-6569-4C68-AA61-779C9B826801}" xr6:coauthVersionLast="47" xr6:coauthVersionMax="47" xr10:uidLastSave="{00000000-0000-0000-0000-000000000000}"/>
  <bookViews>
    <workbookView xWindow="2688" yWindow="2688" windowWidth="17280" windowHeight="9960" xr2:uid="{00000000-000D-0000-FFFF-FFFF00000000}"/>
  </bookViews>
  <sheets>
    <sheet name="Offering Tape" sheetId="1" r:id="rId1"/>
    <sheet name="Metric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3" i="2" l="1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Y13" i="2" s="1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AA9" i="2" s="1"/>
  <c r="E9" i="2"/>
  <c r="D9" i="2"/>
  <c r="V8" i="2"/>
  <c r="U8" i="2"/>
  <c r="U14" i="2" s="1"/>
  <c r="T8" i="2"/>
  <c r="T14" i="2" s="1"/>
  <c r="S8" i="2"/>
  <c r="S14" i="2" s="1"/>
  <c r="R8" i="2"/>
  <c r="R14" i="2" s="1"/>
  <c r="Q8" i="2"/>
  <c r="Q14" i="2" s="1"/>
  <c r="P8" i="2"/>
  <c r="O8" i="2"/>
  <c r="N8" i="2"/>
  <c r="M8" i="2"/>
  <c r="M14" i="2" s="1"/>
  <c r="L8" i="2"/>
  <c r="L14" i="2" s="1"/>
  <c r="K8" i="2"/>
  <c r="K14" i="2" s="1"/>
  <c r="J8" i="2"/>
  <c r="J14" i="2" s="1"/>
  <c r="I8" i="2"/>
  <c r="I14" i="2" s="1"/>
  <c r="H8" i="2"/>
  <c r="G8" i="2"/>
  <c r="F8" i="2"/>
  <c r="E8" i="2"/>
  <c r="E14" i="2" s="1"/>
  <c r="D8" i="2"/>
  <c r="D14" i="2" s="1"/>
  <c r="AA13" i="2" l="1"/>
  <c r="X9" i="2"/>
  <c r="Y9" i="2"/>
  <c r="X11" i="2"/>
  <c r="Z9" i="2"/>
  <c r="Z11" i="2"/>
  <c r="X12" i="2"/>
  <c r="F14" i="2"/>
  <c r="N14" i="2"/>
  <c r="V14" i="2"/>
  <c r="Z12" i="2"/>
  <c r="G14" i="2"/>
  <c r="O14" i="2"/>
  <c r="X10" i="2"/>
  <c r="Y8" i="2"/>
  <c r="P14" i="2"/>
  <c r="AA10" i="2"/>
  <c r="X13" i="2"/>
  <c r="Y12" i="2"/>
  <c r="Z8" i="2"/>
  <c r="Z10" i="2"/>
  <c r="AA12" i="2"/>
  <c r="Y11" i="2"/>
  <c r="AA11" i="2"/>
  <c r="Y10" i="2"/>
  <c r="AA8" i="2"/>
  <c r="AB8" i="2"/>
  <c r="AB9" i="2"/>
  <c r="AB10" i="2"/>
  <c r="AB11" i="2"/>
  <c r="AB12" i="2"/>
  <c r="AB13" i="2"/>
  <c r="X8" i="2"/>
  <c r="H14" i="2"/>
  <c r="Z13" i="2"/>
  <c r="AB14" i="2" l="1"/>
  <c r="AA14" i="2"/>
  <c r="X14" i="2"/>
  <c r="Z14" i="2"/>
  <c r="Y14" i="2"/>
</calcChain>
</file>

<file path=xl/sharedStrings.xml><?xml version="1.0" encoding="utf-8"?>
<sst xmlns="http://schemas.openxmlformats.org/spreadsheetml/2006/main" count="106" uniqueCount="87">
  <si>
    <t>Selected Software and Digital-Market Offerings</t>
  </si>
  <si>
    <t>Offering Tape — Source Inputs</t>
  </si>
  <si>
    <t>Issuer</t>
  </si>
  <si>
    <t>Ticker</t>
  </si>
  <si>
    <t>Offer Date</t>
  </si>
  <si>
    <t>Shares Offered (M)</t>
  </si>
  <si>
    <t>Offer Price / Share</t>
  </si>
  <si>
    <t>Pre-Deal Shares (M)</t>
  </si>
  <si>
    <t>Last Trading Price</t>
  </si>
  <si>
    <t>Thirty-Day Reference Price</t>
  </si>
  <si>
    <t>One-Year Reference Price</t>
  </si>
  <si>
    <t>Current Price</t>
  </si>
  <si>
    <t>Primary Mix</t>
  </si>
  <si>
    <t>Secondary Mix</t>
  </si>
  <si>
    <t>Melnora Commerce, Inc.</t>
  </si>
  <si>
    <t>MLNR</t>
  </si>
  <si>
    <t>20X4-11-11</t>
  </si>
  <si>
    <t>MenuNexa Commerce, Inc.</t>
  </si>
  <si>
    <t>MNXC</t>
  </si>
  <si>
    <t>20X4-09-03</t>
  </si>
  <si>
    <t>cloudcrm.com, Inc.</t>
  </si>
  <si>
    <t>CCRM</t>
  </si>
  <si>
    <t>20X4-08-25</t>
  </si>
  <si>
    <t>Qryvanta Networks, Inc.</t>
  </si>
  <si>
    <t>QRYV</t>
  </si>
  <si>
    <t>20X4-08-11</t>
  </si>
  <si>
    <t>Delyra Markets, Inc.</t>
  </si>
  <si>
    <t>DLYR</t>
  </si>
  <si>
    <t>20X4-07-17</t>
  </si>
  <si>
    <t>Rovanta Analytics, Inc.</t>
  </si>
  <si>
    <t>RVTA</t>
  </si>
  <si>
    <t>20X4-06-12</t>
  </si>
  <si>
    <t>Carovia Systems, Inc.</t>
  </si>
  <si>
    <t>CRVA</t>
  </si>
  <si>
    <t>20X4-05-21</t>
  </si>
  <si>
    <t>RateLoom Analytics, Inc.</t>
  </si>
  <si>
    <t>RTLM</t>
  </si>
  <si>
    <t>20X4-03-04</t>
  </si>
  <si>
    <t>Tavqor Systems, Inc.</t>
  </si>
  <si>
    <t>TVQR</t>
  </si>
  <si>
    <t>20X4-01-14</t>
  </si>
  <si>
    <t>Nexqori Networks, Inc.</t>
  </si>
  <si>
    <t>NXQI</t>
  </si>
  <si>
    <t>20X4-01-07</t>
  </si>
  <si>
    <t>Condria Software, Inc.</t>
  </si>
  <si>
    <t>CNDR</t>
  </si>
  <si>
    <t>20X3-12-20</t>
  </si>
  <si>
    <t>StayNest, Inc.</t>
  </si>
  <si>
    <t>NEST</t>
  </si>
  <si>
    <t>20X3-12-12</t>
  </si>
  <si>
    <t>CouponSable Commerce, Inc.</t>
  </si>
  <si>
    <t>CPSB</t>
  </si>
  <si>
    <t>20X3-12-11</t>
  </si>
  <si>
    <t>LocalRater Inc.</t>
  </si>
  <si>
    <t>LRTR</t>
  </si>
  <si>
    <t>20X3-10-30</t>
  </si>
  <si>
    <t>Zolqara Analytics, Inc.</t>
  </si>
  <si>
    <t>ZLQA</t>
  </si>
  <si>
    <t>20X3-09-19</t>
  </si>
  <si>
    <t>Tunqori Media, Inc.</t>
  </si>
  <si>
    <t>TNQI</t>
  </si>
  <si>
    <t>20X3-09-18</t>
  </si>
  <si>
    <t>Mavqen Commerce Corporation</t>
  </si>
  <si>
    <t>MVQN</t>
  </si>
  <si>
    <t>20X3-09-04</t>
  </si>
  <si>
    <t>HomeMica Group, Inc.</t>
  </si>
  <si>
    <t>HMGC</t>
  </si>
  <si>
    <t>20X3-08-20</t>
  </si>
  <si>
    <t>NestCobalt Software, Inc.</t>
  </si>
  <si>
    <t>NCBT</t>
  </si>
  <si>
    <t>20X3-03-14</t>
  </si>
  <si>
    <t>Calculated Offering Metrics and Distribution Summary</t>
  </si>
  <si>
    <t>Calculated Metric</t>
  </si>
  <si>
    <t>Issuer Columns</t>
  </si>
  <si>
    <t>Distribution Summary</t>
  </si>
  <si>
    <t>Maximum</t>
  </si>
  <si>
    <t>Upper Quartile</t>
  </si>
  <si>
    <t>Median</t>
  </si>
  <si>
    <t>Lower Quartile</t>
  </si>
  <si>
    <t>Minimum</t>
  </si>
  <si>
    <t>Transaction Value</t>
  </si>
  <si>
    <t>Pre-Offering Equity Value</t>
  </si>
  <si>
    <t>Price Performance: Offer to Present</t>
  </si>
  <si>
    <t>Transaction Value / Pre-Offering Equity Value</t>
  </si>
  <si>
    <t>Offer Premium / (Discount) to Last Trade</t>
  </si>
  <si>
    <t>Offer Premium / (Discount) to Thirty-Day Reference</t>
  </si>
  <si>
    <t>Offer Premium / (Discount) to One-Year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</si>
</sst>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\(#,##0.000\);\-"/>
    <numFmt numFmtId="165" formatCode="0.0%;\(0.0%\);\-"/>
    <numFmt numFmtId="166" formatCode="#,##0.0;\(#,##0.0\);\-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4" borderId="0" xfId="0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6"/>
  <sheetViews>
    <sheetView showGridLines="0" tabSelected="1" workbookViewId="0"/>
  </sheetViews>
  <sheetFormatPr defaultRowHeight="18" customHeight="1" x14ac:dyDescent="0.3"/>
  <cols>
    <col min="1" max="1" width="2.6640625" customWidth="1"/>
    <col min="2" max="2" width="32.6640625" customWidth="1"/>
    <col min="3" max="3" width="11.6640625" customWidth="1"/>
    <col min="4" max="4" width="14.6640625" customWidth="1"/>
    <col min="5" max="13" width="18.6640625" customWidth="1"/>
    <col min="14" max="17" width="3.6640625" customWidth="1"/>
  </cols>
  <sheetData>
    <row r="2" spans="2:17" ht="24" customHeight="1" x14ac:dyDescent="0.3">
      <c r="B2" s="9" t="s">
        <v>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4" spans="2:17" ht="18" customHeight="1" x14ac:dyDescent="0.3">
      <c r="B4" s="1" t="s">
        <v>1</v>
      </c>
    </row>
    <row r="6" spans="2:17" ht="18" customHeight="1" x14ac:dyDescent="0.3"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</row>
    <row r="8" spans="2:17" ht="18" customHeight="1" x14ac:dyDescent="0.3">
      <c r="B8" s="3" t="s">
        <v>14</v>
      </c>
      <c r="C8" s="3" t="s">
        <v>15</v>
      </c>
      <c r="D8" s="4" t="s">
        <v>16</v>
      </c>
      <c r="E8" s="5">
        <v>7.0118470000000004</v>
      </c>
      <c r="F8" s="5">
        <v>17.20505</v>
      </c>
      <c r="G8" s="5">
        <v>64.785882000000001</v>
      </c>
      <c r="H8" s="5">
        <v>18.177841000000001</v>
      </c>
      <c r="I8" s="5">
        <v>20.823596999999999</v>
      </c>
      <c r="J8" s="5">
        <v>13.844433</v>
      </c>
      <c r="K8" s="5">
        <v>21.435431000000001</v>
      </c>
      <c r="L8" s="6">
        <v>0.27067200000000002</v>
      </c>
      <c r="M8" s="6">
        <v>0.72932799999999998</v>
      </c>
    </row>
    <row r="9" spans="2:17" ht="18" customHeight="1" x14ac:dyDescent="0.3">
      <c r="B9" s="3" t="s">
        <v>17</v>
      </c>
      <c r="C9" s="3" t="s">
        <v>18</v>
      </c>
      <c r="D9" s="4" t="s">
        <v>19</v>
      </c>
      <c r="E9" s="5">
        <v>10.421268</v>
      </c>
      <c r="F9" s="5">
        <v>32.41245</v>
      </c>
      <c r="G9" s="5">
        <v>77.248177999999996</v>
      </c>
      <c r="H9" s="5">
        <v>41.238250999999998</v>
      </c>
      <c r="I9" s="5">
        <v>43.795152999999999</v>
      </c>
      <c r="J9" s="5">
        <v>37.128872999999999</v>
      </c>
      <c r="K9" s="5">
        <v>30.622834999999998</v>
      </c>
      <c r="L9" s="6">
        <v>0.119604</v>
      </c>
      <c r="M9" s="6">
        <v>0.88039599999999996</v>
      </c>
    </row>
    <row r="10" spans="2:17" ht="18" customHeight="1" x14ac:dyDescent="0.3">
      <c r="B10" s="3" t="s">
        <v>20</v>
      </c>
      <c r="C10" s="3" t="s">
        <v>21</v>
      </c>
      <c r="D10" s="4" t="s">
        <v>22</v>
      </c>
      <c r="E10" s="5">
        <v>8.3782300000000003</v>
      </c>
      <c r="F10" s="5">
        <v>57.121977999999999</v>
      </c>
      <c r="G10" s="5">
        <v>590.792734</v>
      </c>
      <c r="H10" s="5">
        <v>54.936622999999997</v>
      </c>
      <c r="I10" s="5">
        <v>44.136513000000001</v>
      </c>
      <c r="J10" s="5">
        <v>62.235829000000003</v>
      </c>
      <c r="K10" s="5">
        <v>52.041108000000001</v>
      </c>
      <c r="L10" s="6">
        <v>0</v>
      </c>
      <c r="M10" s="6">
        <v>1</v>
      </c>
    </row>
    <row r="11" spans="2:17" ht="18" customHeight="1" x14ac:dyDescent="0.3">
      <c r="B11" s="3" t="s">
        <v>23</v>
      </c>
      <c r="C11" s="3" t="s">
        <v>24</v>
      </c>
      <c r="D11" s="4" t="s">
        <v>25</v>
      </c>
      <c r="E11" s="5">
        <v>6.8209759999999999</v>
      </c>
      <c r="F11" s="5">
        <v>42.255195000000001</v>
      </c>
      <c r="G11" s="5">
        <v>49.441499999999998</v>
      </c>
      <c r="H11" s="5">
        <v>35.548470000000002</v>
      </c>
      <c r="I11" s="5">
        <v>32.967264</v>
      </c>
      <c r="J11" s="5">
        <v>37.450415999999997</v>
      </c>
      <c r="K11" s="5">
        <v>42.403875999999997</v>
      </c>
      <c r="L11" s="6">
        <v>0</v>
      </c>
      <c r="M11" s="6">
        <v>1</v>
      </c>
    </row>
    <row r="12" spans="2:17" ht="18" customHeight="1" x14ac:dyDescent="0.3">
      <c r="B12" s="3" t="s">
        <v>26</v>
      </c>
      <c r="C12" s="3" t="s">
        <v>27</v>
      </c>
      <c r="D12" s="4" t="s">
        <v>28</v>
      </c>
      <c r="E12" s="5">
        <v>32.282189000000002</v>
      </c>
      <c r="F12" s="5">
        <v>6.436382</v>
      </c>
      <c r="G12" s="5">
        <v>124.34684300000001</v>
      </c>
      <c r="H12" s="5">
        <v>10.119952</v>
      </c>
      <c r="I12" s="5">
        <v>8.1361779999999992</v>
      </c>
      <c r="J12" s="5">
        <v>7.9729200000000002</v>
      </c>
      <c r="K12" s="5">
        <v>8.9200700000000008</v>
      </c>
      <c r="L12" s="6">
        <v>0</v>
      </c>
      <c r="M12" s="6">
        <v>1</v>
      </c>
    </row>
    <row r="13" spans="2:17" ht="18" customHeight="1" x14ac:dyDescent="0.3">
      <c r="B13" s="3" t="s">
        <v>29</v>
      </c>
      <c r="C13" s="3" t="s">
        <v>30</v>
      </c>
      <c r="D13" s="4" t="s">
        <v>31</v>
      </c>
      <c r="E13" s="5">
        <v>5.2371239999999997</v>
      </c>
      <c r="F13" s="5">
        <v>56.240625000000001</v>
      </c>
      <c r="G13" s="5">
        <v>47.172198000000002</v>
      </c>
      <c r="H13" s="5">
        <v>50.568734999999997</v>
      </c>
      <c r="I13" s="5">
        <v>43.283811</v>
      </c>
      <c r="J13" s="5">
        <v>37.443593999999997</v>
      </c>
      <c r="K13" s="5">
        <v>52.162908999999999</v>
      </c>
      <c r="L13" s="6">
        <v>1</v>
      </c>
      <c r="M13" s="6">
        <v>0</v>
      </c>
    </row>
    <row r="14" spans="2:17" ht="18" customHeight="1" x14ac:dyDescent="0.3">
      <c r="B14" s="3" t="s">
        <v>32</v>
      </c>
      <c r="C14" s="3" t="s">
        <v>33</v>
      </c>
      <c r="D14" s="4" t="s">
        <v>34</v>
      </c>
      <c r="E14" s="5">
        <v>40.662185999999998</v>
      </c>
      <c r="F14" s="5">
        <v>19.427391</v>
      </c>
      <c r="G14" s="5">
        <v>737.30716700000005</v>
      </c>
      <c r="H14" s="5">
        <v>19.355157999999999</v>
      </c>
      <c r="I14" s="5">
        <v>19.778320000000001</v>
      </c>
      <c r="J14" s="5">
        <v>16.194237999999999</v>
      </c>
      <c r="K14" s="5">
        <v>17.396566</v>
      </c>
      <c r="L14" s="6">
        <v>0</v>
      </c>
      <c r="M14" s="6">
        <v>1</v>
      </c>
    </row>
    <row r="15" spans="2:17" ht="18" customHeight="1" x14ac:dyDescent="0.3">
      <c r="B15" s="3" t="s">
        <v>35</v>
      </c>
      <c r="C15" s="3" t="s">
        <v>36</v>
      </c>
      <c r="D15" s="4" t="s">
        <v>37</v>
      </c>
      <c r="E15" s="5">
        <v>13.650817</v>
      </c>
      <c r="F15" s="5">
        <v>19.876062999999998</v>
      </c>
      <c r="G15" s="5">
        <v>106.256933</v>
      </c>
      <c r="H15" s="5">
        <v>18.049678</v>
      </c>
      <c r="I15" s="5">
        <v>21.956272999999999</v>
      </c>
      <c r="J15" s="5">
        <v>19.104105000000001</v>
      </c>
      <c r="K15" s="5">
        <v>14.891444999999999</v>
      </c>
      <c r="L15" s="6">
        <v>0</v>
      </c>
      <c r="M15" s="6">
        <v>1</v>
      </c>
    </row>
    <row r="16" spans="2:17" ht="18" customHeight="1" x14ac:dyDescent="0.3">
      <c r="B16" s="3" t="s">
        <v>38</v>
      </c>
      <c r="C16" s="3" t="s">
        <v>39</v>
      </c>
      <c r="D16" s="4" t="s">
        <v>40</v>
      </c>
      <c r="E16" s="5">
        <v>7.3775219999999999</v>
      </c>
      <c r="F16" s="5">
        <v>98.353621000000004</v>
      </c>
      <c r="G16" s="5">
        <v>207.83054799999999</v>
      </c>
      <c r="H16" s="5">
        <v>82.884546</v>
      </c>
      <c r="I16" s="5">
        <v>94.031346999999997</v>
      </c>
      <c r="J16" s="5">
        <v>68.173008999999993</v>
      </c>
      <c r="K16" s="5">
        <v>91.479382999999999</v>
      </c>
      <c r="L16" s="6">
        <v>1</v>
      </c>
      <c r="M16" s="6">
        <v>0</v>
      </c>
    </row>
    <row r="17" spans="2:13" ht="18" customHeight="1" x14ac:dyDescent="0.3">
      <c r="B17" s="3" t="s">
        <v>41</v>
      </c>
      <c r="C17" s="3" t="s">
        <v>42</v>
      </c>
      <c r="D17" s="4" t="s">
        <v>43</v>
      </c>
      <c r="E17" s="5">
        <v>13.290608000000001</v>
      </c>
      <c r="F17" s="5">
        <v>10.614013</v>
      </c>
      <c r="G17" s="5">
        <v>671.13479299999995</v>
      </c>
      <c r="H17" s="5">
        <v>14.179437999999999</v>
      </c>
      <c r="I17" s="5">
        <v>9.7767110000000006</v>
      </c>
      <c r="J17" s="5">
        <v>7.1415860000000002</v>
      </c>
      <c r="K17" s="5">
        <v>8.1244040000000002</v>
      </c>
      <c r="L17" s="6">
        <v>0</v>
      </c>
      <c r="M17" s="6">
        <v>1</v>
      </c>
    </row>
    <row r="18" spans="2:13" ht="18" customHeight="1" x14ac:dyDescent="0.3">
      <c r="B18" s="3" t="s">
        <v>44</v>
      </c>
      <c r="C18" s="3" t="s">
        <v>45</v>
      </c>
      <c r="D18" s="4" t="s">
        <v>46</v>
      </c>
      <c r="E18" s="5">
        <v>66.869328999999993</v>
      </c>
      <c r="F18" s="5">
        <v>56.203172000000002</v>
      </c>
      <c r="G18" s="5">
        <v>2461.9656620000001</v>
      </c>
      <c r="H18" s="5">
        <v>58.480265000000003</v>
      </c>
      <c r="I18" s="5">
        <v>43.694885999999997</v>
      </c>
      <c r="J18" s="5">
        <v>39.704574999999998</v>
      </c>
      <c r="K18" s="5">
        <v>91.384484999999998</v>
      </c>
      <c r="L18" s="6">
        <v>0.32840799999999998</v>
      </c>
      <c r="M18" s="6">
        <v>0.67159199999999997</v>
      </c>
    </row>
    <row r="19" spans="2:13" ht="18" customHeight="1" x14ac:dyDescent="0.3">
      <c r="B19" s="3" t="s">
        <v>47</v>
      </c>
      <c r="C19" s="3" t="s">
        <v>48</v>
      </c>
      <c r="D19" s="4" t="s">
        <v>49</v>
      </c>
      <c r="E19" s="5">
        <v>6.4128170000000004</v>
      </c>
      <c r="F19" s="5">
        <v>29.845210000000002</v>
      </c>
      <c r="G19" s="5">
        <v>91.580922000000001</v>
      </c>
      <c r="H19" s="5">
        <v>42.912483999999999</v>
      </c>
      <c r="I19" s="5">
        <v>31.970506</v>
      </c>
      <c r="J19" s="5">
        <v>32.397922000000001</v>
      </c>
      <c r="K19" s="5">
        <v>26.627244000000001</v>
      </c>
      <c r="L19" s="6">
        <v>7.0065000000000002E-2</v>
      </c>
      <c r="M19" s="6">
        <v>0.92993499999999996</v>
      </c>
    </row>
    <row r="20" spans="2:13" ht="18" customHeight="1" x14ac:dyDescent="0.3">
      <c r="B20" s="3" t="s">
        <v>50</v>
      </c>
      <c r="C20" s="3" t="s">
        <v>51</v>
      </c>
      <c r="D20" s="4" t="s">
        <v>52</v>
      </c>
      <c r="E20" s="5">
        <v>7.0836959999999998</v>
      </c>
      <c r="F20" s="5">
        <v>26.408742</v>
      </c>
      <c r="G20" s="5">
        <v>60.161507999999998</v>
      </c>
      <c r="H20" s="5">
        <v>32.245455</v>
      </c>
      <c r="I20" s="5">
        <v>28.088736999999998</v>
      </c>
      <c r="J20" s="5">
        <v>35.333548999999998</v>
      </c>
      <c r="K20" s="5">
        <v>12.622636999999999</v>
      </c>
      <c r="L20" s="6">
        <v>0.36725099999999999</v>
      </c>
      <c r="M20" s="6">
        <v>0.63274900000000001</v>
      </c>
    </row>
    <row r="21" spans="2:13" ht="18" customHeight="1" x14ac:dyDescent="0.3">
      <c r="B21" s="3" t="s">
        <v>53</v>
      </c>
      <c r="C21" s="3" t="s">
        <v>54</v>
      </c>
      <c r="D21" s="4" t="s">
        <v>55</v>
      </c>
      <c r="E21" s="5">
        <v>4.4070419999999997</v>
      </c>
      <c r="F21" s="5">
        <v>72.323612999999995</v>
      </c>
      <c r="G21" s="5">
        <v>52.951994999999997</v>
      </c>
      <c r="H21" s="5">
        <v>55.646110999999998</v>
      </c>
      <c r="I21" s="5">
        <v>64.826290999999998</v>
      </c>
      <c r="J21" s="5">
        <v>32.797457000000001</v>
      </c>
      <c r="K21" s="5">
        <v>43.780296</v>
      </c>
      <c r="L21" s="6">
        <v>1</v>
      </c>
      <c r="M21" s="6">
        <v>0</v>
      </c>
    </row>
    <row r="22" spans="2:13" ht="18" customHeight="1" x14ac:dyDescent="0.3">
      <c r="B22" s="3" t="s">
        <v>56</v>
      </c>
      <c r="C22" s="3" t="s">
        <v>57</v>
      </c>
      <c r="D22" s="4" t="s">
        <v>58</v>
      </c>
      <c r="E22" s="5">
        <v>6.0853630000000001</v>
      </c>
      <c r="F22" s="5">
        <v>65.383431999999999</v>
      </c>
      <c r="G22" s="5">
        <v>37.816363000000003</v>
      </c>
      <c r="H22" s="5">
        <v>69.855175000000003</v>
      </c>
      <c r="I22" s="5">
        <v>55.807471</v>
      </c>
      <c r="J22" s="5">
        <v>43.132190999999999</v>
      </c>
      <c r="K22" s="5">
        <v>64.045506000000003</v>
      </c>
      <c r="L22" s="6">
        <v>0.31612800000000002</v>
      </c>
      <c r="M22" s="6">
        <v>0.68387200000000004</v>
      </c>
    </row>
    <row r="23" spans="2:13" ht="18" customHeight="1" x14ac:dyDescent="0.3">
      <c r="B23" s="3" t="s">
        <v>59</v>
      </c>
      <c r="C23" s="3" t="s">
        <v>60</v>
      </c>
      <c r="D23" s="4" t="s">
        <v>61</v>
      </c>
      <c r="E23" s="5">
        <v>18.358008999999999</v>
      </c>
      <c r="F23" s="5">
        <v>24.364636999999998</v>
      </c>
      <c r="G23" s="5">
        <v>164.70714899999999</v>
      </c>
      <c r="H23" s="5">
        <v>30.640425</v>
      </c>
      <c r="I23" s="5">
        <v>18.212688</v>
      </c>
      <c r="J23" s="5">
        <v>11.871841999999999</v>
      </c>
      <c r="K23" s="5">
        <v>14.843457000000001</v>
      </c>
      <c r="L23" s="6">
        <v>0.82383200000000001</v>
      </c>
      <c r="M23" s="6">
        <v>0.17616799999999999</v>
      </c>
    </row>
    <row r="24" spans="2:13" ht="18" customHeight="1" x14ac:dyDescent="0.3">
      <c r="B24" s="3" t="s">
        <v>62</v>
      </c>
      <c r="C24" s="3" t="s">
        <v>63</v>
      </c>
      <c r="D24" s="4" t="s">
        <v>64</v>
      </c>
      <c r="E24" s="5">
        <v>4.8375640000000004</v>
      </c>
      <c r="F24" s="5">
        <v>215</v>
      </c>
      <c r="G24" s="5">
        <v>94.924813</v>
      </c>
      <c r="H24" s="5">
        <v>191.44266400000001</v>
      </c>
      <c r="I24" s="5">
        <v>227.225347</v>
      </c>
      <c r="J24" s="5">
        <v>184.70867999999999</v>
      </c>
      <c r="K24" s="5">
        <v>262.58977700000003</v>
      </c>
      <c r="L24" s="6">
        <v>1</v>
      </c>
      <c r="M24" s="6">
        <v>0</v>
      </c>
    </row>
    <row r="25" spans="2:13" ht="18" customHeight="1" x14ac:dyDescent="0.3">
      <c r="B25" s="3" t="s">
        <v>65</v>
      </c>
      <c r="C25" s="3" t="s">
        <v>66</v>
      </c>
      <c r="D25" s="4" t="s">
        <v>67</v>
      </c>
      <c r="E25" s="5">
        <v>6.2453979999999998</v>
      </c>
      <c r="F25" s="5">
        <v>93.073350000000005</v>
      </c>
      <c r="G25" s="5">
        <v>28.372395999999998</v>
      </c>
      <c r="H25" s="5">
        <v>102.33310400000001</v>
      </c>
      <c r="I25" s="5">
        <v>77.568577000000005</v>
      </c>
      <c r="J25" s="5">
        <v>51.747706000000001</v>
      </c>
      <c r="K25" s="5">
        <v>87.994523000000001</v>
      </c>
      <c r="L25" s="6">
        <v>0.61086799999999997</v>
      </c>
      <c r="M25" s="6">
        <v>0.38913199999999998</v>
      </c>
    </row>
    <row r="26" spans="2:13" ht="18" customHeight="1" x14ac:dyDescent="0.3">
      <c r="B26" s="3" t="s">
        <v>68</v>
      </c>
      <c r="C26" s="3" t="s">
        <v>69</v>
      </c>
      <c r="D26" s="4" t="s">
        <v>70</v>
      </c>
      <c r="E26" s="5">
        <v>7.806978</v>
      </c>
      <c r="F26" s="5">
        <v>27.848980999999998</v>
      </c>
      <c r="G26" s="5">
        <v>32.962032999999998</v>
      </c>
      <c r="H26" s="5">
        <v>28.331859999999999</v>
      </c>
      <c r="I26" s="5">
        <v>27.978126</v>
      </c>
      <c r="J26" s="5">
        <v>25.227096</v>
      </c>
      <c r="K26" s="5">
        <v>49.754807999999997</v>
      </c>
      <c r="L26" s="6">
        <v>0.48166999999999999</v>
      </c>
      <c r="M26" s="6">
        <v>0.51832999999999996</v>
      </c>
    </row>
  </sheetData>
  <mergeCells count="1">
    <mergeCell ref="B2:Q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B14"/>
  <sheetViews>
    <sheetView showGridLines="0" workbookViewId="0"/>
  </sheetViews>
  <sheetFormatPr defaultRowHeight="18" customHeight="1" x14ac:dyDescent="0.3"/>
  <cols>
    <col min="1" max="1" width="2.6640625" customWidth="1"/>
    <col min="2" max="2" width="48.6640625" customWidth="1"/>
    <col min="3" max="3" width="3.6640625" customWidth="1"/>
    <col min="4" max="22" width="21.6640625" customWidth="1"/>
    <col min="23" max="23" width="3.6640625" customWidth="1"/>
    <col min="24" max="28" width="18.6640625" customWidth="1"/>
  </cols>
  <sheetData>
    <row r="2" spans="2:28" ht="24" customHeight="1" x14ac:dyDescent="0.3">
      <c r="B2" s="9" t="s">
        <v>71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4" spans="2:28" ht="18" customHeight="1" x14ac:dyDescent="0.3">
      <c r="B4" s="1" t="s">
        <v>72</v>
      </c>
      <c r="D4" s="1" t="s">
        <v>73</v>
      </c>
      <c r="X4" s="1" t="s">
        <v>74</v>
      </c>
    </row>
    <row r="6" spans="2:28" ht="18" customHeight="1" x14ac:dyDescent="0.3">
      <c r="D6" s="2" t="s">
        <v>14</v>
      </c>
      <c r="E6" s="2" t="s">
        <v>17</v>
      </c>
      <c r="F6" s="2" t="s">
        <v>20</v>
      </c>
      <c r="G6" s="2" t="s">
        <v>23</v>
      </c>
      <c r="H6" s="2" t="s">
        <v>26</v>
      </c>
      <c r="I6" s="2" t="s">
        <v>29</v>
      </c>
      <c r="J6" s="2" t="s">
        <v>32</v>
      </c>
      <c r="K6" s="2" t="s">
        <v>35</v>
      </c>
      <c r="L6" s="2" t="s">
        <v>38</v>
      </c>
      <c r="M6" s="2" t="s">
        <v>41</v>
      </c>
      <c r="N6" s="2" t="s">
        <v>44</v>
      </c>
      <c r="O6" s="2" t="s">
        <v>47</v>
      </c>
      <c r="P6" s="2" t="s">
        <v>50</v>
      </c>
      <c r="Q6" s="2" t="s">
        <v>53</v>
      </c>
      <c r="R6" s="2" t="s">
        <v>56</v>
      </c>
      <c r="S6" s="2" t="s">
        <v>59</v>
      </c>
      <c r="T6" s="2" t="s">
        <v>62</v>
      </c>
      <c r="U6" s="2" t="s">
        <v>65</v>
      </c>
      <c r="V6" s="2" t="s">
        <v>68</v>
      </c>
      <c r="X6" s="2" t="s">
        <v>75</v>
      </c>
      <c r="Y6" s="2" t="s">
        <v>76</v>
      </c>
      <c r="Z6" s="2" t="s">
        <v>77</v>
      </c>
      <c r="AA6" s="2" t="s">
        <v>78</v>
      </c>
      <c r="AB6" s="2" t="s">
        <v>79</v>
      </c>
    </row>
    <row r="8" spans="2:28" ht="18" customHeight="1" x14ac:dyDescent="0.3">
      <c r="B8" s="3" t="s">
        <v>80</v>
      </c>
      <c r="D8" s="7">
        <f>'Offering Tape'!E8*'Offering Tape'!F8</f>
        <v>120.63917822735</v>
      </c>
      <c r="E8" s="7">
        <f>'Offering Tape'!E9*'Offering Tape'!F9</f>
        <v>337.77882798659999</v>
      </c>
      <c r="F8" s="7">
        <f>'Offering Tape'!E10*'Offering Tape'!F10</f>
        <v>478.58106973894002</v>
      </c>
      <c r="G8" s="7">
        <f>'Offering Tape'!E11*'Offering Tape'!F11</f>
        <v>288.22167097032002</v>
      </c>
      <c r="H8" s="7">
        <f>'Offering Tape'!E12*'Offering Tape'!F12</f>
        <v>207.78050020019802</v>
      </c>
      <c r="I8" s="7">
        <f>'Offering Tape'!E13*'Offering Tape'!F13</f>
        <v>294.53912696250001</v>
      </c>
      <c r="J8" s="7">
        <f>'Offering Tape'!E14*'Offering Tape'!F14</f>
        <v>789.960186336726</v>
      </c>
      <c r="K8" s="7">
        <f>'Offering Tape'!E15*'Offering Tape'!F15</f>
        <v>271.32449869347096</v>
      </c>
      <c r="L8" s="7">
        <f>'Offering Tape'!E16*'Offering Tape'!F16</f>
        <v>725.60600270716202</v>
      </c>
      <c r="M8" s="7">
        <f>'Offering Tape'!E17*'Offering Tape'!F17</f>
        <v>141.06668608990401</v>
      </c>
      <c r="N8" s="7">
        <f>'Offering Tape'!E18*'Offering Tape'!F18</f>
        <v>3758.2683993115879</v>
      </c>
      <c r="O8" s="7">
        <f>'Offering Tape'!E19*'Offering Tape'!F19</f>
        <v>191.39187005657001</v>
      </c>
      <c r="P8" s="7">
        <f>'Offering Tape'!E20*'Offering Tape'!F20</f>
        <v>187.07150007043199</v>
      </c>
      <c r="Q8" s="7">
        <f>'Offering Tape'!E21*'Offering Tape'!F21</f>
        <v>318.73320008274595</v>
      </c>
      <c r="R8" s="7">
        <f>'Offering Tape'!E22*'Offering Tape'!F22</f>
        <v>397.88191790581601</v>
      </c>
      <c r="S8" s="7">
        <f>'Offering Tape'!E23*'Offering Tape'!F23</f>
        <v>447.28622532773295</v>
      </c>
      <c r="T8" s="7">
        <f>'Offering Tape'!E24*'Offering Tape'!F24</f>
        <v>1040.07626</v>
      </c>
      <c r="U8" s="7">
        <f>'Offering Tape'!E25*'Offering Tape'!F25</f>
        <v>581.28011394329997</v>
      </c>
      <c r="V8" s="7">
        <f>'Offering Tape'!E26*'Offering Tape'!F26</f>
        <v>217.416381989418</v>
      </c>
      <c r="X8" s="7">
        <f t="shared" ref="X8:X14" si="0">MAX(D8:V8)</f>
        <v>3758.2683993115879</v>
      </c>
      <c r="Y8" s="7">
        <f t="shared" ref="Y8:Y14" si="1">QUARTILE(D8:V8,3)</f>
        <v>529.93059184111996</v>
      </c>
      <c r="Z8" s="7">
        <f t="shared" ref="Z8:Z14" si="2">MEDIAN(D8:V8)</f>
        <v>318.73320008274595</v>
      </c>
      <c r="AA8" s="7">
        <f t="shared" ref="AA8:AA14" si="3">QUARTILE(D8:V8,1)</f>
        <v>212.59844109480801</v>
      </c>
      <c r="AB8" s="7">
        <f t="shared" ref="AB8:AB14" si="4">MIN(D8:V8)</f>
        <v>120.63917822735</v>
      </c>
    </row>
    <row r="9" spans="2:28" ht="18" customHeight="1" x14ac:dyDescent="0.3">
      <c r="B9" s="3" t="s">
        <v>81</v>
      </c>
      <c r="D9" s="7">
        <f>'Offering Tape'!H8*'Offering Tape'!G8</f>
        <v>1177.6674620407621</v>
      </c>
      <c r="E9" s="7">
        <f>'Offering Tape'!H9*'Offering Tape'!G9</f>
        <v>3185.5797536566779</v>
      </c>
      <c r="F9" s="7">
        <f>'Offering Tape'!H10*'Offering Tape'!G10</f>
        <v>32456.157698897281</v>
      </c>
      <c r="G9" s="7">
        <f>'Offering Tape'!H11*'Offering Tape'!G11</f>
        <v>1757.5696795050001</v>
      </c>
      <c r="H9" s="7">
        <f>'Offering Tape'!H12*'Offering Tape'!G12</f>
        <v>1258.384082511536</v>
      </c>
      <c r="I9" s="7">
        <f>'Offering Tape'!H13*'Offering Tape'!G13</f>
        <v>2385.43838002953</v>
      </c>
      <c r="J9" s="7">
        <f>'Offering Tape'!H14*'Offering Tape'!G14</f>
        <v>14270.696711817387</v>
      </c>
      <c r="K9" s="7">
        <f>'Offering Tape'!H15*'Offering Tape'!G15</f>
        <v>1917.9034259175742</v>
      </c>
      <c r="L9" s="7">
        <f>'Offering Tape'!H16*'Offering Tape'!G16</f>
        <v>17225.940615911208</v>
      </c>
      <c r="M9" s="7">
        <f>'Offering Tape'!H17*'Offering Tape'!G17</f>
        <v>9516.3141869863321</v>
      </c>
      <c r="N9" s="7">
        <f>'Offering Tape'!H18*'Offering Tape'!G18</f>
        <v>143976.40433466044</v>
      </c>
      <c r="O9" s="7">
        <f>'Offering Tape'!H19*'Offering Tape'!G19</f>
        <v>3929.9648500302478</v>
      </c>
      <c r="P9" s="7">
        <f>'Offering Tape'!H20*'Offering Tape'!G20</f>
        <v>1939.93519894614</v>
      </c>
      <c r="Q9" s="7">
        <f>'Offering Tape'!H21*'Offering Tape'!G21</f>
        <v>2946.5725914414447</v>
      </c>
      <c r="R9" s="7">
        <f>'Offering Tape'!H22*'Offering Tape'!G22</f>
        <v>2641.6686552285255</v>
      </c>
      <c r="S9" s="7">
        <f>'Offering Tape'!H23*'Offering Tape'!G23</f>
        <v>5046.6970458983251</v>
      </c>
      <c r="T9" s="7">
        <f>'Offering Tape'!H24*'Offering Tape'!G24</f>
        <v>18172.659080421832</v>
      </c>
      <c r="U9" s="7">
        <f>'Offering Tape'!H25*'Offering Tape'!G25</f>
        <v>2903.435350597184</v>
      </c>
      <c r="V9" s="7">
        <f>'Offering Tape'!H26*'Offering Tape'!G26</f>
        <v>933.87570427137996</v>
      </c>
      <c r="X9" s="7">
        <f t="shared" si="0"/>
        <v>143976.40433466044</v>
      </c>
      <c r="Y9" s="7">
        <f t="shared" si="1"/>
        <v>11893.505449401859</v>
      </c>
      <c r="Z9" s="7">
        <f t="shared" si="2"/>
        <v>2946.5725914414447</v>
      </c>
      <c r="AA9" s="7">
        <f t="shared" si="3"/>
        <v>1928.9193124318572</v>
      </c>
      <c r="AB9" s="7">
        <f t="shared" si="4"/>
        <v>933.87570427137996</v>
      </c>
    </row>
    <row r="10" spans="2:28" ht="18" customHeight="1" x14ac:dyDescent="0.3">
      <c r="B10" s="3" t="s">
        <v>84</v>
      </c>
      <c r="D10" s="8">
        <f>'Offering Tape'!F8/'Offering Tape'!H8-1</f>
        <v>-5.3515211184870681E-2</v>
      </c>
      <c r="E10" s="8">
        <f>'Offering Tape'!F9/'Offering Tape'!H9-1</f>
        <v>-0.21401977014010609</v>
      </c>
      <c r="F10" s="8">
        <f>'Offering Tape'!F10/'Offering Tape'!H10-1</f>
        <v>3.977956562783258E-2</v>
      </c>
      <c r="G10" s="8">
        <f>'Offering Tape'!F11/'Offering Tape'!H11-1</f>
        <v>0.18866423787015307</v>
      </c>
      <c r="H10" s="8">
        <f>'Offering Tape'!F12/'Offering Tape'!H12-1</f>
        <v>-0.36399085687362942</v>
      </c>
      <c r="I10" s="8">
        <f>'Offering Tape'!F13/'Offering Tape'!H13-1</f>
        <v>0.11216199100096147</v>
      </c>
      <c r="J10" s="8">
        <f>'Offering Tape'!F14/'Offering Tape'!H14-1</f>
        <v>3.7319767681565086E-3</v>
      </c>
      <c r="K10" s="8">
        <f>'Offering Tape'!F15/'Offering Tape'!H15-1</f>
        <v>0.10118656964406769</v>
      </c>
      <c r="L10" s="8">
        <f>'Offering Tape'!F16/'Offering Tape'!H16-1</f>
        <v>0.18663400774373562</v>
      </c>
      <c r="M10" s="8">
        <f>'Offering Tape'!F17/'Offering Tape'!H17-1</f>
        <v>-0.2514503748314989</v>
      </c>
      <c r="N10" s="8">
        <f>'Offering Tape'!F18/'Offering Tape'!H18-1</f>
        <v>-3.8937802350929807E-2</v>
      </c>
      <c r="O10" s="8">
        <f>'Offering Tape'!F19/'Offering Tape'!H19-1</f>
        <v>-0.30450984846274565</v>
      </c>
      <c r="P10" s="8">
        <f>'Offering Tape'!F20/'Offering Tape'!H20-1</f>
        <v>-0.18100885845772685</v>
      </c>
      <c r="Q10" s="8">
        <f>'Offering Tape'!F21/'Offering Tape'!H21-1</f>
        <v>0.29970651497999556</v>
      </c>
      <c r="R10" s="8">
        <f>'Offering Tape'!F22/'Offering Tape'!H22-1</f>
        <v>-6.4014484252598369E-2</v>
      </c>
      <c r="S10" s="8">
        <f>'Offering Tape'!F23/'Offering Tape'!H23-1</f>
        <v>-0.20482052713041687</v>
      </c>
      <c r="T10" s="8">
        <f>'Offering Tape'!F24/'Offering Tape'!H24-1</f>
        <v>0.12305165164229015</v>
      </c>
      <c r="U10" s="8">
        <f>'Offering Tape'!F25/'Offering Tape'!H25-1</f>
        <v>-9.0486398223589504E-2</v>
      </c>
      <c r="V10" s="8">
        <f>'Offering Tape'!F26/'Offering Tape'!H26-1</f>
        <v>-1.7043674506368456E-2</v>
      </c>
      <c r="X10" s="8">
        <f t="shared" si="0"/>
        <v>0.29970651497999556</v>
      </c>
      <c r="Y10" s="8">
        <f t="shared" si="1"/>
        <v>0.10667428032251458</v>
      </c>
      <c r="Z10" s="8">
        <f t="shared" si="2"/>
        <v>-3.8937802350929807E-2</v>
      </c>
      <c r="AA10" s="8">
        <f t="shared" si="3"/>
        <v>-0.19291469279407186</v>
      </c>
      <c r="AB10" s="8">
        <f t="shared" si="4"/>
        <v>-0.36399085687362942</v>
      </c>
    </row>
    <row r="11" spans="2:28" ht="18" customHeight="1" x14ac:dyDescent="0.3">
      <c r="B11" s="3" t="s">
        <v>85</v>
      </c>
      <c r="D11" s="8">
        <f>'Offering Tape'!F8/'Offering Tape'!I8-1</f>
        <v>-0.17377146705249813</v>
      </c>
      <c r="E11" s="8">
        <f>'Offering Tape'!F9/'Offering Tape'!I9-1</f>
        <v>-0.25990782587287686</v>
      </c>
      <c r="F11" s="8">
        <f>'Offering Tape'!F10/'Offering Tape'!I10-1</f>
        <v>0.29421139363682847</v>
      </c>
      <c r="G11" s="8">
        <f>'Offering Tape'!F11/'Offering Tape'!I11-1</f>
        <v>0.2817319326226162</v>
      </c>
      <c r="H11" s="8">
        <f>'Offering Tape'!F12/'Offering Tape'!I12-1</f>
        <v>-0.20891824146423532</v>
      </c>
      <c r="I11" s="8">
        <f>'Offering Tape'!F13/'Offering Tape'!I13-1</f>
        <v>0.2993454989441664</v>
      </c>
      <c r="J11" s="8">
        <f>'Offering Tape'!F14/'Offering Tape'!I14-1</f>
        <v>-1.7743114683148042E-2</v>
      </c>
      <c r="K11" s="8">
        <f>'Offering Tape'!F15/'Offering Tape'!I15-1</f>
        <v>-9.4743310943528614E-2</v>
      </c>
      <c r="L11" s="8">
        <f>'Offering Tape'!F16/'Offering Tape'!I16-1</f>
        <v>4.5966309511656922E-2</v>
      </c>
      <c r="M11" s="8">
        <f>'Offering Tape'!F17/'Offering Tape'!I17-1</f>
        <v>8.5642502882615545E-2</v>
      </c>
      <c r="N11" s="8">
        <f>'Offering Tape'!F18/'Offering Tape'!I18-1</f>
        <v>0.28626430104429179</v>
      </c>
      <c r="O11" s="8">
        <f>'Offering Tape'!F19/'Offering Tape'!I19-1</f>
        <v>-6.6476770808694741E-2</v>
      </c>
      <c r="P11" s="8">
        <f>'Offering Tape'!F20/'Offering Tape'!I20-1</f>
        <v>-5.9810271996209696E-2</v>
      </c>
      <c r="Q11" s="8">
        <f>'Offering Tape'!F21/'Offering Tape'!I21-1</f>
        <v>0.11565249043786885</v>
      </c>
      <c r="R11" s="8">
        <f>'Offering Tape'!F22/'Offering Tape'!I22-1</f>
        <v>0.17158923040967045</v>
      </c>
      <c r="S11" s="8">
        <f>'Offering Tape'!F23/'Offering Tape'!I23-1</f>
        <v>0.33778369233580441</v>
      </c>
      <c r="T11" s="8">
        <f>'Offering Tape'!F24/'Offering Tape'!I24-1</f>
        <v>-5.3802743230049965E-2</v>
      </c>
      <c r="U11" s="8">
        <f>'Offering Tape'!F25/'Offering Tape'!I25-1</f>
        <v>0.19988471620408865</v>
      </c>
      <c r="V11" s="8">
        <f>'Offering Tape'!F26/'Offering Tape'!I26-1</f>
        <v>-4.6159274570427566E-3</v>
      </c>
      <c r="X11" s="8">
        <f t="shared" si="0"/>
        <v>0.33778369233580441</v>
      </c>
      <c r="Y11" s="8">
        <f t="shared" si="1"/>
        <v>0.24080832441335243</v>
      </c>
      <c r="Z11" s="8">
        <f t="shared" si="2"/>
        <v>4.5966309511656922E-2</v>
      </c>
      <c r="AA11" s="8">
        <f t="shared" si="3"/>
        <v>-6.3143521402452218E-2</v>
      </c>
      <c r="AB11" s="8">
        <f t="shared" si="4"/>
        <v>-0.25990782587287686</v>
      </c>
    </row>
    <row r="12" spans="2:28" ht="18" customHeight="1" x14ac:dyDescent="0.3">
      <c r="B12" s="3" t="s">
        <v>86</v>
      </c>
      <c r="D12" s="8">
        <f>'Offering Tape'!F8/'Offering Tape'!J8-1</f>
        <v>0.24274139648767123</v>
      </c>
      <c r="E12" s="8">
        <f>'Offering Tape'!F9/'Offering Tape'!J9-1</f>
        <v>-0.12702844495172261</v>
      </c>
      <c r="F12" s="8">
        <f>'Offering Tape'!F10/'Offering Tape'!J10-1</f>
        <v>-8.216892234214479E-2</v>
      </c>
      <c r="G12" s="8">
        <f>'Offering Tape'!F11/'Offering Tape'!J11-1</f>
        <v>0.12829707953043834</v>
      </c>
      <c r="H12" s="8">
        <f>'Offering Tape'!F12/'Offering Tape'!J12-1</f>
        <v>-0.1927196058658559</v>
      </c>
      <c r="I12" s="8">
        <f>'Offering Tape'!F13/'Offering Tape'!J13-1</f>
        <v>0.50200926225190901</v>
      </c>
      <c r="J12" s="8">
        <f>'Offering Tape'!F14/'Offering Tape'!J14-1</f>
        <v>0.19964835640923662</v>
      </c>
      <c r="K12" s="8">
        <f>'Offering Tape'!F15/'Offering Tape'!J15-1</f>
        <v>4.0407964675654773E-2</v>
      </c>
      <c r="L12" s="8">
        <f>'Offering Tape'!F16/'Offering Tape'!J16-1</f>
        <v>0.44270617422798542</v>
      </c>
      <c r="M12" s="8">
        <f>'Offering Tape'!F17/'Offering Tape'!J17-1</f>
        <v>0.48622630883392004</v>
      </c>
      <c r="N12" s="8">
        <f>'Offering Tape'!F18/'Offering Tape'!J18-1</f>
        <v>0.41553390257923684</v>
      </c>
      <c r="O12" s="8">
        <f>'Offering Tape'!F19/'Offering Tape'!J19-1</f>
        <v>-7.8792460825110933E-2</v>
      </c>
      <c r="P12" s="8">
        <f>'Offering Tape'!F20/'Offering Tape'!J20-1</f>
        <v>-0.25258733562258351</v>
      </c>
      <c r="Q12" s="8">
        <f>'Offering Tape'!F21/'Offering Tape'!J21-1</f>
        <v>1.2051591682855167</v>
      </c>
      <c r="R12" s="8">
        <f>'Offering Tape'!F22/'Offering Tape'!J22-1</f>
        <v>0.51588478313100294</v>
      </c>
      <c r="S12" s="8">
        <f>'Offering Tape'!F23/'Offering Tape'!J23-1</f>
        <v>1.0523046886911063</v>
      </c>
      <c r="T12" s="8">
        <f>'Offering Tape'!F24/'Offering Tape'!J24-1</f>
        <v>0.16399510840530085</v>
      </c>
      <c r="U12" s="8">
        <f>'Offering Tape'!F25/'Offering Tape'!J25-1</f>
        <v>0.79859856976075427</v>
      </c>
      <c r="V12" s="8">
        <f>'Offering Tape'!F26/'Offering Tape'!J26-1</f>
        <v>0.10393130465749989</v>
      </c>
      <c r="X12" s="8">
        <f t="shared" si="0"/>
        <v>1.2051591682855167</v>
      </c>
      <c r="Y12" s="8">
        <f t="shared" si="1"/>
        <v>0.49411778554291452</v>
      </c>
      <c r="Z12" s="8">
        <f t="shared" si="2"/>
        <v>0.19964835640923662</v>
      </c>
      <c r="AA12" s="8">
        <f t="shared" si="3"/>
        <v>-1.919224807472808E-2</v>
      </c>
      <c r="AB12" s="8">
        <f t="shared" si="4"/>
        <v>-0.25258733562258351</v>
      </c>
    </row>
    <row r="13" spans="2:28" ht="18" customHeight="1" x14ac:dyDescent="0.3">
      <c r="B13" s="3" t="s">
        <v>82</v>
      </c>
      <c r="D13" s="8">
        <f>'Offering Tape'!K8/'Offering Tape'!F8-1</f>
        <v>0.24588019215288548</v>
      </c>
      <c r="E13" s="8">
        <f>'Offering Tape'!K9/'Offering Tape'!F9-1</f>
        <v>-5.5213814444758147E-2</v>
      </c>
      <c r="F13" s="8">
        <f>'Offering Tape'!K10/'Offering Tape'!F10-1</f>
        <v>-8.8947725164559177E-2</v>
      </c>
      <c r="G13" s="8">
        <f>'Offering Tape'!K11/'Offering Tape'!F11-1</f>
        <v>3.5186442755736902E-3</v>
      </c>
      <c r="H13" s="8">
        <f>'Offering Tape'!K12/'Offering Tape'!F12-1</f>
        <v>0.38588262784899974</v>
      </c>
      <c r="I13" s="8">
        <f>'Offering Tape'!K13/'Offering Tape'!F13-1</f>
        <v>-7.2504813024393044E-2</v>
      </c>
      <c r="J13" s="8">
        <f>'Offering Tape'!K14/'Offering Tape'!F14-1</f>
        <v>-0.10453410856866985</v>
      </c>
      <c r="K13" s="8">
        <f>'Offering Tape'!K15/'Offering Tape'!F15-1</f>
        <v>-0.25078497688400359</v>
      </c>
      <c r="L13" s="8">
        <f>'Offering Tape'!K16/'Offering Tape'!F16-1</f>
        <v>-6.9893085075129147E-2</v>
      </c>
      <c r="M13" s="8">
        <f>'Offering Tape'!K17/'Offering Tape'!F17-1</f>
        <v>-0.23455869142048347</v>
      </c>
      <c r="N13" s="8">
        <f>'Offering Tape'!K18/'Offering Tape'!F18-1</f>
        <v>0.62596668031476943</v>
      </c>
      <c r="O13" s="8">
        <f>'Offering Tape'!K19/'Offering Tape'!F19-1</f>
        <v>-0.10782185818092749</v>
      </c>
      <c r="P13" s="8">
        <f>'Offering Tape'!K20/'Offering Tape'!F20-1</f>
        <v>-0.52202808448808358</v>
      </c>
      <c r="Q13" s="8">
        <f>'Offering Tape'!K21/'Offering Tape'!F21-1</f>
        <v>-0.39466110466577486</v>
      </c>
      <c r="R13" s="8">
        <f>'Offering Tape'!K22/'Offering Tape'!F22-1</f>
        <v>-2.0462767999085751E-2</v>
      </c>
      <c r="S13" s="8">
        <f>'Offering Tape'!K23/'Offering Tape'!F23-1</f>
        <v>-0.39077865186335414</v>
      </c>
      <c r="T13" s="8">
        <f>'Offering Tape'!K24/'Offering Tape'!F24-1</f>
        <v>0.22134780000000021</v>
      </c>
      <c r="U13" s="8">
        <f>'Offering Tape'!K25/'Offering Tape'!F25-1</f>
        <v>-5.4568004697370442E-2</v>
      </c>
      <c r="V13" s="8">
        <f>'Offering Tape'!K26/'Offering Tape'!F26-1</f>
        <v>0.78659348433610554</v>
      </c>
      <c r="X13" s="8">
        <f t="shared" si="0"/>
        <v>0.78659348433610554</v>
      </c>
      <c r="Y13" s="8">
        <f t="shared" si="1"/>
        <v>0.11243322213778695</v>
      </c>
      <c r="Z13" s="8">
        <f t="shared" si="2"/>
        <v>-6.9893085075129147E-2</v>
      </c>
      <c r="AA13" s="8">
        <f t="shared" si="3"/>
        <v>-0.17119027480070548</v>
      </c>
      <c r="AB13" s="8">
        <f t="shared" si="4"/>
        <v>-0.52202808448808358</v>
      </c>
    </row>
    <row r="14" spans="2:28" ht="18" customHeight="1" x14ac:dyDescent="0.3">
      <c r="B14" s="3" t="s">
        <v>83</v>
      </c>
      <c r="D14" s="8">
        <f t="shared" ref="D14:V14" si="5">D8/D9</f>
        <v>0.1024390858335308</v>
      </c>
      <c r="E14" s="8">
        <f t="shared" si="5"/>
        <v>0.10603370629753309</v>
      </c>
      <c r="F14" s="8">
        <f t="shared" si="5"/>
        <v>1.4745462915815206E-2</v>
      </c>
      <c r="G14" s="8">
        <f t="shared" si="5"/>
        <v>0.163988759211808</v>
      </c>
      <c r="H14" s="8">
        <f t="shared" si="5"/>
        <v>0.16511691707471454</v>
      </c>
      <c r="I14" s="8">
        <f t="shared" si="5"/>
        <v>0.12347379392749346</v>
      </c>
      <c r="J14" s="8">
        <f t="shared" si="5"/>
        <v>5.5355404314813152E-2</v>
      </c>
      <c r="K14" s="8">
        <f t="shared" si="5"/>
        <v>0.14146932271298404</v>
      </c>
      <c r="L14" s="8">
        <f t="shared" si="5"/>
        <v>4.2122866837061797E-2</v>
      </c>
      <c r="M14" s="8">
        <f t="shared" si="5"/>
        <v>1.482366842015518E-2</v>
      </c>
      <c r="N14" s="8">
        <f t="shared" si="5"/>
        <v>2.610336337179129E-2</v>
      </c>
      <c r="O14" s="8">
        <f t="shared" si="5"/>
        <v>4.870065696773266E-2</v>
      </c>
      <c r="P14" s="8">
        <f t="shared" si="5"/>
        <v>9.643182935804126E-2</v>
      </c>
      <c r="Q14" s="8">
        <f t="shared" si="5"/>
        <v>0.10817082905356955</v>
      </c>
      <c r="R14" s="8">
        <f t="shared" si="5"/>
        <v>0.15061764734131505</v>
      </c>
      <c r="S14" s="8">
        <f t="shared" si="5"/>
        <v>8.8629497919091915E-2</v>
      </c>
      <c r="T14" s="8">
        <f t="shared" si="5"/>
        <v>5.7233025469592275E-2</v>
      </c>
      <c r="U14" s="8">
        <f t="shared" si="5"/>
        <v>0.20020425590800264</v>
      </c>
      <c r="V14" s="8">
        <f t="shared" si="5"/>
        <v>0.23281083445580014</v>
      </c>
      <c r="X14" s="8">
        <f t="shared" si="0"/>
        <v>0.23281083445580014</v>
      </c>
      <c r="Y14" s="8">
        <f t="shared" si="1"/>
        <v>0.14604348502714953</v>
      </c>
      <c r="Z14" s="8">
        <f t="shared" si="2"/>
        <v>0.1024390858335308</v>
      </c>
      <c r="AA14" s="8">
        <f t="shared" si="3"/>
        <v>5.2028030641272906E-2</v>
      </c>
      <c r="AB14" s="8">
        <f t="shared" si="4"/>
        <v>1.4745462915815206E-2</v>
      </c>
    </row>
  </sheetData>
  <mergeCells count="1">
    <mergeCell ref="B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Offering Tape</vt:lpstr>
      <vt:lpstr>Metric Matrix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Follow-On Offering Benchmark Set</dc:title>
  <dc:creator>shortcut.ai</dc:creator>
  <dc:description>shortcut.ai</dc:description>
  <cp:lastModifiedBy>shortcut.ai</cp:lastModifiedBy>
  <dcterms:created xsi:type="dcterms:W3CDTF">2026-07-16T23:06:25Z</dcterms:created>
  <dcterms:modified xsi:type="dcterms:W3CDTF">2026-08-14T18:18:30Z</dcterms:modified>
</cp:coreProperties>
</file>