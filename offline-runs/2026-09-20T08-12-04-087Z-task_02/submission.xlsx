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bookViews>
    <workbookView xWindow="1152" yWindow="1152" windowWidth="17280" windowHeight="9960" xr2:uid="{00000000-000D-0000-FFFF-FFFF00000000}"/>
  </bookViews>
  <sheets>
    <sheet name="Drivers" sheetId="1" r:id="rId1"/>
    <sheet name="Income Statement" sheetId="2" r:id="rId2"/>
    <sheet name="Statements &amp; Checks" sheetId="3" r:id="rId3"/>
  </sheets>
  <definedNames>
    <definedName name="Cash_Interest_Rate">Drivers!$D$16</definedName>
    <definedName name="Company_Name">Drivers!$D$8</definedName>
    <definedName name="Debt_Interest_Rate">Drivers!$D$15</definedName>
    <definedName name="GM_Improv">Drivers!$D$13</definedName>
    <definedName name="Hist_Yr">Drivers!$D$11</definedName>
    <definedName name="Tax_Rate">Drivers!$D$14</definedName>
    <definedName name="_xlnm.Print_Area" localSheetId="0">Drivers!$B$2:$L$66</definedName>
    <definedName name="_xlnm.Print_Titles" localSheetId="0">Drivers!$B:$D,Drivers!$2:$3</definedName>
    <definedName name="_xlnm.Print_Area" localSheetId="1">'Income Statement'!$B$2:$L$31</definedName>
    <definedName name="_xlnm.Print_Titles" localSheetId="1">'Income Statement'!$B:$D,'Income Statement'!$2:$3</definedName>
    <definedName name="_xlnm.Print_Area" localSheetId="2">'Statements &amp; Checks'!$B$2:$L$79</definedName>
    <definedName name="_xlnm.Print_Titles" localSheetId="2">'Statements &amp; Checks'!$B:$D,'Statements &amp; Checks'!$2:$3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<sst xmlns="http://schemas.openxmlformats.org/spreadsheetml/2006/main" count="226" uniqueCount="127">
  <si>
    <t>(USD in millions, per-share/per-unit as noted)</t>
  </si>
  <si>
    <t>Key Assumptions:</t>
  </si>
  <si>
    <t>Entity Name:</t>
  </si>
  <si>
    <t>Illinois Tool Works Inc.</t>
  </si>
  <si>
    <t>Ticker Symbol:</t>
  </si>
  <si>
    <t>ITW</t>
  </si>
  <si>
    <t>Share Price:</t>
  </si>
  <si>
    <t>Final Historical Year:</t>
  </si>
  <si>
    <t>Annual GM Expansion:</t>
  </si>
  <si>
    <t>Blended Tax Rate:</t>
  </si>
  <si>
    <t>Debt Interest Rate:</t>
  </si>
  <si>
    <t>Cash Yield:</t>
  </si>
  <si>
    <t>Actual</t>
  </si>
  <si>
    <t>Forecast</t>
  </si>
  <si>
    <t>Operating Drivers:</t>
  </si>
  <si>
    <t>Basis:</t>
  </si>
  <si>
    <t>P&amp;L Drivers:</t>
  </si>
  <si>
    <t>Sales Growth:</t>
  </si>
  <si>
    <t>%</t>
  </si>
  <si>
    <t>Gross Profit Margin:</t>
  </si>
  <si>
    <t>SG&amp;A % of Sales:</t>
  </si>
  <si>
    <t>Intangible Amortization:</t>
  </si>
  <si>
    <t>$ M</t>
  </si>
  <si>
    <t>Goodwill Impairment:</t>
  </si>
  <si>
    <t>Debt Paydown Rate:</t>
  </si>
  <si>
    <t>Opening Debt Balance:</t>
  </si>
  <si>
    <t>(-) Debt Repayment:</t>
  </si>
  <si>
    <t>Closing Debt Balance:</t>
  </si>
  <si>
    <t>Gross Interest Expense:</t>
  </si>
  <si>
    <t>Interest Earned:</t>
  </si>
  <si>
    <t>Discontinued Ops Income:</t>
  </si>
  <si>
    <t>Balance Sheet Inputs:</t>
  </si>
  <si>
    <t>Receivable Days (DSO):</t>
  </si>
  <si>
    <t># Days</t>
  </si>
  <si>
    <t>Inventory Days (DSI):</t>
  </si>
  <si>
    <t>Payable Days (DPO):</t>
  </si>
  <si>
    <t>Prepaids &amp; Other % of SG&amp;A:</t>
  </si>
  <si>
    <t>Other LT Assets % of Sales:</t>
  </si>
  <si>
    <t>Accruals % of SG&amp;A:</t>
  </si>
  <si>
    <t>Other Current Liab. % of SG&amp;A:</t>
  </si>
  <si>
    <t>Other LT Liab. % of SG&amp;A:</t>
  </si>
  <si>
    <t>Cash Flow Drivers:</t>
  </si>
  <si>
    <t>Capex Spend:</t>
  </si>
  <si>
    <t>Depreciation % of Sales:</t>
  </si>
  <si>
    <t>SBC % of Sales:</t>
  </si>
  <si>
    <t>Deferred Tax % of Tax:</t>
  </si>
  <si>
    <t>Dividend Payout % of NI:</t>
  </si>
  <si>
    <t>Share Buybacks:</t>
  </si>
  <si>
    <t>Misc. Non-Cash Items:</t>
  </si>
  <si>
    <t>Misc. Investing Items:</t>
  </si>
  <si>
    <t>Misc. Financing Items:</t>
  </si>
  <si>
    <t>FX Impact % of Sales:</t>
  </si>
  <si>
    <t>Profit &amp; Loss Statement:</t>
  </si>
  <si>
    <t>Total Sales:</t>
  </si>
  <si>
    <t>Cost of Sales (COGS):</t>
  </si>
  <si>
    <t>Gross Income:</t>
  </si>
  <si>
    <t>Operating Costs:</t>
  </si>
  <si>
    <t>(+) SG&amp;A Expense:</t>
  </si>
  <si>
    <t>(+) Intangible Amortization:</t>
  </si>
  <si>
    <t>(+) Goodwill Impairment:</t>
  </si>
  <si>
    <t>Total Operating Costs:</t>
  </si>
  <si>
    <t>Operating Profit (EBIT):</t>
  </si>
  <si>
    <t>EBIT Margin:</t>
  </si>
  <si>
    <t>Non-Operating Items:</t>
  </si>
  <si>
    <t>(-) Interest Cost:</t>
  </si>
  <si>
    <t>(+) Interest &amp; Other Income:</t>
  </si>
  <si>
    <t>Total Non-Operating:</t>
  </si>
  <si>
    <t>Pre-Tax Profit:</t>
  </si>
  <si>
    <t>(-) Income Tax Provision:</t>
  </si>
  <si>
    <t>Continuing Ops Income:</t>
  </si>
  <si>
    <t>(+) Discontinued Ops Income:</t>
  </si>
  <si>
    <t>Net Profit:</t>
  </si>
  <si>
    <t>Statement of Financial Position:</t>
  </si>
  <si>
    <t>Asset Base:</t>
  </si>
  <si>
    <t>Short-Term Assets:</t>
  </si>
  <si>
    <t>Cash &amp; Cash Equivalents:</t>
  </si>
  <si>
    <t>Trade Receivables:</t>
  </si>
  <si>
    <t>Inventories:</t>
  </si>
  <si>
    <t>Prepaids &amp; Other Current Assets:</t>
  </si>
  <si>
    <t>Total Short-Term Assets:</t>
  </si>
  <si>
    <t>Long-Term Assets:</t>
  </si>
  <si>
    <t>Net Property &amp; Equipment:</t>
  </si>
  <si>
    <t>Acquired Goodwill:</t>
  </si>
  <si>
    <t>Other Intangibles:</t>
  </si>
  <si>
    <t>Other LT Assets:</t>
  </si>
  <si>
    <t>Total Long-Term Assets:</t>
  </si>
  <si>
    <t>Total Asset Base:</t>
  </si>
  <si>
    <t>Liabilities &amp; Shareholders' Equity:</t>
  </si>
  <si>
    <t>Short-Term Liabilities:</t>
  </si>
  <si>
    <t>Trade Payables:</t>
  </si>
  <si>
    <t>Accrued Liabilities:</t>
  </si>
  <si>
    <t>Other Short-Term Liabilities:</t>
  </si>
  <si>
    <t>Total Short-Term Liabilities:</t>
  </si>
  <si>
    <t>Long-Term Liabilities:</t>
  </si>
  <si>
    <t>Long-Term Borrowings:</t>
  </si>
  <si>
    <t>Deferred Tax Liabilities:</t>
  </si>
  <si>
    <t>Other LT Liabilities:</t>
  </si>
  <si>
    <t>Total Long-Term Liabilities:</t>
  </si>
  <si>
    <t>Total Obligations:</t>
  </si>
  <si>
    <t>Shareholders' Equity:</t>
  </si>
  <si>
    <t>Total Funding:</t>
  </si>
  <si>
    <t>BS Check:</t>
  </si>
  <si>
    <t>Statement of Cash Flows:</t>
  </si>
  <si>
    <t>Operating Activities:</t>
  </si>
  <si>
    <t>Non-Cash Adjustments:</t>
  </si>
  <si>
    <t>(+) Depreciation Expense:</t>
  </si>
  <si>
    <t>(+/-) Deferred Tax:</t>
  </si>
  <si>
    <t>(+) Stock Compensation:</t>
  </si>
  <si>
    <t>(+/-) Misc. Non-Cash:</t>
  </si>
  <si>
    <t>Working Capital Changes:</t>
  </si>
  <si>
    <t>Prepaids &amp; Other Assets:</t>
  </si>
  <si>
    <t>Misc. Liabilities:</t>
  </si>
  <si>
    <t>Cash Flow from Operations:</t>
  </si>
  <si>
    <t>Investing Activities:</t>
  </si>
  <si>
    <t>(-) Capex Spend:</t>
  </si>
  <si>
    <t>(+/-) Misc. Investing:</t>
  </si>
  <si>
    <t>Cash Flow from Investing:</t>
  </si>
  <si>
    <t>Financing Activities:</t>
  </si>
  <si>
    <t>(-) Dividend Distributions:</t>
  </si>
  <si>
    <t>(-) Share Buybacks:</t>
  </si>
  <si>
    <t>(+) Debt Draws / (-) Repayments:</t>
  </si>
  <si>
    <t>(+) Misc. Financing:</t>
  </si>
  <si>
    <t>Cash Flow from Financing:</t>
  </si>
  <si>
    <t>FX Translation Effects:</t>
  </si>
  <si>
    <t>Net Change in Cash:</t>
  </si>
  <si>
    <t>Opening Cash:</t>
  </si>
  <si>
    <t>Closing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</si>
</sst>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* #,##0.0_);_(* \(#,##0.0\);_(* &quot;-&quot;?_);_(@_)"/>
    <numFmt numFmtId="169" formatCode="#,##0.0_);\(#,##0.0\)"/>
    <numFmt numFmtId="170" formatCode="_(#,##0.0%_);\(#,##0.0%\);_(&quot;–&quot;_)_%;_(@_)_%"/>
    <numFmt numFmtId="171" formatCode="_(&quot;$&quot;* #,##0.0_);_(&quot;$&quot;* \(#,##0.0\);_(&quot;$&quot;* &quot;-&quot;?_);_(@_)"/>
    <numFmt numFmtId="172" formatCode="_(* #,##0.0_);_(* \(#,##0.0\);_(* &quot;-&quot;??_);_(@_)"/>
    <numFmt numFmtId="173" formatCode="&quot;$&quot;#,##0.000\);\(&quot;$&quot;#,##0.000\);&quot;OK!&quot;;&quot;ERROR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sz val="11"/>
      <color rgb="FF1F386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39" fontId="0" fillId="0" borderId="0" xfId="0" applyNumberFormat="1"/>
    <xf numFmtId="44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3" fillId="0" borderId="0" xfId="0" applyNumberFormat="1" applyFon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70" fontId="0" fillId="0" borderId="0" xfId="0" applyNumberFormat="1"/>
    <xf numFmtId="171" fontId="0" fillId="0" borderId="0" xfId="0" applyNumberFormat="1"/>
    <xf numFmtId="171" fontId="0" fillId="3" borderId="0" xfId="0" applyNumberFormat="1" applyFill="1"/>
    <xf numFmtId="168" fontId="0" fillId="3" borderId="0" xfId="0" applyNumberFormat="1" applyFill="1"/>
    <xf numFmtId="172" fontId="0" fillId="3" borderId="0" xfId="0" applyNumberFormat="1" applyFill="1"/>
    <xf numFmtId="166" fontId="0" fillId="3" borderId="0" xfId="0" applyNumberFormat="1" applyFill="1"/>
    <xf numFmtId="49" fontId="1" fillId="2" borderId="0" xfId="0" applyNumberFormat="1" applyFont="1" applyFill="1"/>
    <xf numFmtId="173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Continuous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Continuous"/>
    </xf>
    <xf numFmtId="167" fontId="5" fillId="2" borderId="0" xfId="0" applyNumberFormat="1" applyFont="1" applyFill="1" applyAlignment="1">
      <alignment horizontal="center"/>
    </xf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6"/>
  <sheetViews>
    <sheetView tabSelected="1" workbookViewId="0"/>
  </sheetViews>
  <sheetFormatPr defaultRowHeight="14.4" x14ac:dyDescent="0.3"/>
  <cols>
    <col min="3" max="3" width="35" customWidth="1"/>
    <col min="4" max="12" width="10.77734375" customWidth="1"/>
  </cols>
  <sheetData>
    <row r="2" spans="2:4" ht="18" x14ac:dyDescent="0.35">
      <c r="B2" s="1" t="str">
        <f>Company_Name&amp;" Financial Model"</f>
        <v>Illinois Tool Works Inc. Financial Model</v>
      </c>
    </row>
    <row r="3" spans="2:4" x14ac:dyDescent="0.3">
      <c r="B3" t="s">
        <v>0</v>
      </c>
    </row>
    <row r="6" spans="2:4" x14ac:dyDescent="0.3">
      <c r="B6" s="25" t="s">
        <v>1</v>
      </c>
      <c r="C6" s="25"/>
      <c r="D6" s="26"/>
    </row>
    <row r="8" spans="2:4" x14ac:dyDescent="0.3">
      <c r="C8" t="s">
        <v>2</v>
      </c>
      <c r="D8" s="3" t="s">
        <v>3</v>
      </c>
    </row>
    <row r="9" spans="2:4" x14ac:dyDescent="0.3">
      <c r="C9" t="s">
        <v>4</v>
      </c>
      <c r="D9" t="s">
        <v>5</v>
      </c>
    </row>
    <row r="10" spans="2:4" x14ac:dyDescent="0.3">
      <c r="C10" t="s">
        <v>6</v>
      </c>
      <c r="D10" s="4">
        <v>124.79900000000001</v>
      </c>
    </row>
    <row r="11" spans="2:4" x14ac:dyDescent="0.3">
      <c r="C11" t="s">
        <v>7</v>
      </c>
      <c r="D11" s="5">
        <v>42369</v>
      </c>
    </row>
    <row r="13" spans="2:4" x14ac:dyDescent="0.3">
      <c r="C13" t="s">
        <v>8</v>
      </c>
      <c r="D13" s="6">
        <v>2.748E-3</v>
      </c>
    </row>
    <row r="14" spans="2:4" x14ac:dyDescent="0.3">
      <c r="C14" t="s">
        <v>9</v>
      </c>
      <c r="D14" s="7">
        <v>0.32943099999999997</v>
      </c>
    </row>
    <row r="15" spans="2:4" x14ac:dyDescent="0.3">
      <c r="C15" t="s">
        <v>10</v>
      </c>
      <c r="D15" s="7">
        <v>3.7095999999999997E-2</v>
      </c>
    </row>
    <row r="16" spans="2:4" x14ac:dyDescent="0.3">
      <c r="C16" t="s">
        <v>11</v>
      </c>
      <c r="D16" s="7">
        <v>4.5469999999999998E-3</v>
      </c>
    </row>
    <row r="18" spans="2:12" x14ac:dyDescent="0.3">
      <c r="B18" s="26"/>
      <c r="C18" s="26"/>
      <c r="D18" s="26"/>
      <c r="E18" s="27" t="s">
        <v>12</v>
      </c>
      <c r="F18" s="27"/>
      <c r="G18" s="27"/>
      <c r="H18" s="27" t="s">
        <v>13</v>
      </c>
      <c r="I18" s="27"/>
      <c r="J18" s="27"/>
      <c r="K18" s="27"/>
      <c r="L18" s="27"/>
    </row>
    <row r="19" spans="2:12" x14ac:dyDescent="0.3">
      <c r="B19" s="25" t="s">
        <v>14</v>
      </c>
      <c r="C19" s="25"/>
      <c r="D19" s="26" t="s">
        <v>15</v>
      </c>
      <c r="E19" s="28">
        <f>EOMONTH(F19,-12)</f>
        <v>41639</v>
      </c>
      <c r="F19" s="28">
        <f>EOMONTH(G19,-12)</f>
        <v>42004</v>
      </c>
      <c r="G19" s="28">
        <f>Hist_Yr</f>
        <v>42369</v>
      </c>
      <c r="H19" s="28">
        <f>EOMONTH(G19,12)</f>
        <v>42735</v>
      </c>
      <c r="I19" s="28">
        <f>EOMONTH(H19,12)</f>
        <v>43100</v>
      </c>
      <c r="J19" s="28">
        <f>EOMONTH(I19,12)</f>
        <v>43465</v>
      </c>
      <c r="K19" s="28">
        <f>EOMONTH(J19,12)</f>
        <v>43830</v>
      </c>
      <c r="L19" s="28">
        <f>EOMONTH(K19,12)</f>
        <v>44196</v>
      </c>
    </row>
    <row r="20" spans="2:12" x14ac:dyDescent="0.3">
      <c r="B20" s="25" t="s">
        <v>16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x14ac:dyDescent="0.3">
      <c r="C21" t="s">
        <v>17</v>
      </c>
      <c r="D21" t="s">
        <v>18</v>
      </c>
      <c r="H21" s="7">
        <v>4.2173000000000002E-2</v>
      </c>
      <c r="I21" s="7">
        <v>4.0973000000000002E-2</v>
      </c>
      <c r="J21" s="7">
        <v>3.3548000000000001E-2</v>
      </c>
      <c r="K21" s="7">
        <v>2.5482000000000001E-2</v>
      </c>
      <c r="L21" s="7">
        <v>2.7872000000000001E-2</v>
      </c>
    </row>
    <row r="22" spans="2:12" x14ac:dyDescent="0.3">
      <c r="C22" t="s">
        <v>19</v>
      </c>
      <c r="D22" t="s">
        <v>18</v>
      </c>
      <c r="E22" s="9">
        <f>+'Income Statement'!E9/'Income Statement'!E5</f>
        <v>0.39483551467987266</v>
      </c>
      <c r="F22" s="9">
        <f>+'Income Statement'!F9/'Income Statement'!F5</f>
        <v>0.40120132560066279</v>
      </c>
      <c r="G22" s="9">
        <f>+'Income Statement'!G9/'Income Statement'!G5</f>
        <v>0.41156284968295415</v>
      </c>
      <c r="H22" s="9">
        <f>+G22+GM_Improv</f>
        <v>0.41431084968295412</v>
      </c>
      <c r="I22" s="9">
        <f>+H22+GM_Improv</f>
        <v>0.41705884968295409</v>
      </c>
      <c r="J22" s="9">
        <f>+I22+GM_Improv</f>
        <v>0.41980684968295406</v>
      </c>
      <c r="K22" s="9">
        <f>+J22+GM_Improv</f>
        <v>0.42255484968295404</v>
      </c>
      <c r="L22" s="9">
        <f>+K22+GM_Improv</f>
        <v>0.42530284968295401</v>
      </c>
    </row>
    <row r="23" spans="2:12" x14ac:dyDescent="0.3">
      <c r="C23" t="s">
        <v>20</v>
      </c>
      <c r="D23" t="s">
        <v>18</v>
      </c>
      <c r="H23" s="7">
        <v>0.15831000000000001</v>
      </c>
      <c r="I23" s="7">
        <v>0.17982300000000001</v>
      </c>
      <c r="J23" s="7">
        <v>0.18402399999999999</v>
      </c>
      <c r="K23" s="7">
        <v>0.190632</v>
      </c>
      <c r="L23" s="7">
        <v>0.13680500000000001</v>
      </c>
    </row>
    <row r="25" spans="2:12" x14ac:dyDescent="0.3">
      <c r="C25" t="s">
        <v>21</v>
      </c>
      <c r="D25" t="s">
        <v>22</v>
      </c>
      <c r="H25" s="10">
        <v>184</v>
      </c>
      <c r="I25" s="10">
        <v>182</v>
      </c>
      <c r="J25" s="10">
        <v>162</v>
      </c>
      <c r="K25" s="10">
        <v>178</v>
      </c>
      <c r="L25" s="10">
        <v>148</v>
      </c>
    </row>
    <row r="26" spans="2:12" x14ac:dyDescent="0.3">
      <c r="C26" s="11" t="s">
        <v>23</v>
      </c>
      <c r="D26" t="s">
        <v>22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8" spans="2:12" x14ac:dyDescent="0.3">
      <c r="C28" t="s">
        <v>24</v>
      </c>
      <c r="D28" t="s">
        <v>18</v>
      </c>
      <c r="H28" s="7">
        <v>8.4662000000000001E-2</v>
      </c>
      <c r="I28" s="7">
        <v>9.7678000000000001E-2</v>
      </c>
      <c r="J28" s="7">
        <v>0.105574</v>
      </c>
      <c r="K28" s="7">
        <v>0.111485</v>
      </c>
      <c r="L28" s="7">
        <v>9.6019999999999994E-2</v>
      </c>
    </row>
    <row r="30" spans="2:12" x14ac:dyDescent="0.3">
      <c r="C30" t="s">
        <v>25</v>
      </c>
      <c r="D30" t="s">
        <v>22</v>
      </c>
      <c r="H30" s="12">
        <f>+'Statements &amp; Checks'!G29</f>
        <v>7422</v>
      </c>
      <c r="I30" s="12">
        <f>+H32</f>
        <v>6793.6386359999997</v>
      </c>
      <c r="J30" s="12">
        <f>+I32</f>
        <v>6068.6725200000001</v>
      </c>
      <c r="K30" s="12">
        <f>+J32</f>
        <v>5285.1022919999996</v>
      </c>
      <c r="L30" s="12">
        <f>+K32</f>
        <v>4457.6606219999994</v>
      </c>
    </row>
    <row r="31" spans="2:12" x14ac:dyDescent="0.3">
      <c r="C31" t="s">
        <v>26</v>
      </c>
      <c r="D31" t="s">
        <v>22</v>
      </c>
      <c r="H31" s="12">
        <f>-H28*$H$30</f>
        <v>-628.36136399999998</v>
      </c>
      <c r="I31" s="12">
        <f>-I28*$H$30</f>
        <v>-724.96611600000006</v>
      </c>
      <c r="J31" s="12">
        <f>-J28*$H$30</f>
        <v>-783.57022800000004</v>
      </c>
      <c r="K31" s="12">
        <f>-K28*$H$30</f>
        <v>-827.44167000000004</v>
      </c>
      <c r="L31" s="12">
        <f>-L28*$H$30</f>
        <v>-712.66043999999999</v>
      </c>
    </row>
    <row r="32" spans="2:12" x14ac:dyDescent="0.3">
      <c r="C32" t="s">
        <v>27</v>
      </c>
      <c r="D32" t="s">
        <v>22</v>
      </c>
      <c r="H32" s="12">
        <f>SUM(H30:H31)</f>
        <v>6793.6386359999997</v>
      </c>
      <c r="I32" s="12">
        <f>SUM(I30:I31)</f>
        <v>6068.6725200000001</v>
      </c>
      <c r="J32" s="12">
        <f>SUM(J30:J31)</f>
        <v>5285.1022919999996</v>
      </c>
      <c r="K32" s="12">
        <f>SUM(K30:K31)</f>
        <v>4457.6606219999994</v>
      </c>
      <c r="L32" s="12">
        <f>SUM(L30:L31)</f>
        <v>3745.0001819999993</v>
      </c>
    </row>
    <row r="34" spans="2:12" x14ac:dyDescent="0.3">
      <c r="C34" t="s">
        <v>28</v>
      </c>
      <c r="D34" t="s">
        <v>22</v>
      </c>
      <c r="H34" s="12">
        <f>+H30*Debt_Interest_Rate</f>
        <v>275.32651199999998</v>
      </c>
      <c r="I34" s="12">
        <f>+I30*Debt_Interest_Rate</f>
        <v>252.01681884105597</v>
      </c>
      <c r="J34" s="12">
        <f>+J30*Debt_Interest_Rate</f>
        <v>225.12347580191999</v>
      </c>
      <c r="K34" s="12">
        <f>+K30*Debt_Interest_Rate</f>
        <v>196.05615462403196</v>
      </c>
      <c r="L34" s="12">
        <f>+L30*Debt_Interest_Rate</f>
        <v>165.36137843371196</v>
      </c>
    </row>
    <row r="35" spans="2:12" x14ac:dyDescent="0.3">
      <c r="C35" t="s">
        <v>29</v>
      </c>
      <c r="D35" t="s">
        <v>22</v>
      </c>
      <c r="H35" s="12">
        <f>+'Statements &amp; Checks'!G6*Cash_Interest_Rate</f>
        <v>14.050229999999999</v>
      </c>
      <c r="I35" s="12">
        <f>+'Statements &amp; Checks'!H6*Cash_Interest_Rate</f>
        <v>16.654017877891999</v>
      </c>
      <c r="J35" s="12">
        <f>+'Statements &amp; Checks'!I6*Cash_Interest_Rate</f>
        <v>8.3240679484399998</v>
      </c>
      <c r="K35" s="12">
        <f>+'Statements &amp; Checks'!J6*Cash_Interest_Rate</f>
        <v>-0.36784187827599985</v>
      </c>
      <c r="L35" s="12">
        <f>+'Statements &amp; Checks'!K6*Cash_Interest_Rate</f>
        <v>-9.8548921517660002</v>
      </c>
    </row>
    <row r="37" spans="2:12" x14ac:dyDescent="0.3">
      <c r="C37" t="s">
        <v>30</v>
      </c>
      <c r="D37" t="s">
        <v>22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9" spans="2:12" x14ac:dyDescent="0.3">
      <c r="B39" s="25" t="s">
        <v>31</v>
      </c>
      <c r="C39" s="25"/>
      <c r="D39" s="26"/>
      <c r="E39" s="26"/>
      <c r="F39" s="26"/>
      <c r="G39" s="26"/>
      <c r="H39" s="26"/>
      <c r="I39" s="26"/>
      <c r="J39" s="26"/>
      <c r="K39" s="26"/>
      <c r="L39" s="26"/>
    </row>
    <row r="40" spans="2:12" x14ac:dyDescent="0.3">
      <c r="C40" t="s">
        <v>32</v>
      </c>
      <c r="D40" t="s">
        <v>33</v>
      </c>
      <c r="E40" s="13">
        <f>+'Statements &amp; Checks'!E7/'Income Statement'!E5*365</f>
        <v>61.070038910505829</v>
      </c>
      <c r="F40" s="13">
        <f>+'Statements &amp; Checks'!F7/'Income Statement'!F5*365</f>
        <v>57.784106600386636</v>
      </c>
      <c r="G40" s="13">
        <f>+'Statements &amp; Checks'!G7/'Income Statement'!G5*365</f>
        <v>59.984707198806412</v>
      </c>
      <c r="H40" s="13">
        <f>AVERAGE(E40:G40)</f>
        <v>59.612950903232957</v>
      </c>
      <c r="I40" s="13">
        <f>+H40</f>
        <v>59.612950903232957</v>
      </c>
      <c r="J40" s="13">
        <f>+I40</f>
        <v>59.612950903232957</v>
      </c>
      <c r="K40" s="13">
        <f>+J40</f>
        <v>59.612950903232957</v>
      </c>
      <c r="L40" s="13">
        <f>+K40</f>
        <v>59.612950903232957</v>
      </c>
    </row>
    <row r="41" spans="2:12" x14ac:dyDescent="0.3">
      <c r="C41" t="s">
        <v>34</v>
      </c>
      <c r="D41" t="s">
        <v>33</v>
      </c>
      <c r="E41" s="13">
        <f>+'Statements &amp; Checks'!E8/'Income Statement'!E7*365</f>
        <v>53.20960953939678</v>
      </c>
      <c r="F41" s="13">
        <f>+'Statements &amp; Checks'!F8/'Income Statement'!F7*365</f>
        <v>49.659863945578238</v>
      </c>
      <c r="G41" s="13">
        <f>+'Statements &amp; Checks'!G8/'Income Statement'!G7*365</f>
        <v>50.252281947261658</v>
      </c>
      <c r="H41" s="14">
        <v>55</v>
      </c>
      <c r="I41" s="14">
        <v>46</v>
      </c>
      <c r="J41" s="14">
        <v>44</v>
      </c>
      <c r="K41" s="14">
        <v>55</v>
      </c>
      <c r="L41" s="14">
        <v>49</v>
      </c>
    </row>
    <row r="42" spans="2:12" x14ac:dyDescent="0.3">
      <c r="C42" t="s">
        <v>35</v>
      </c>
      <c r="D42" t="s">
        <v>33</v>
      </c>
      <c r="E42" s="13">
        <f>+'Statements &amp; Checks'!E23/'Income Statement'!E7*365</f>
        <v>27.052840776245031</v>
      </c>
      <c r="F42" s="13">
        <f>+'Statements &amp; Checks'!F23/'Income Statement'!F7*365</f>
        <v>21.547330796725468</v>
      </c>
      <c r="G42" s="13">
        <f>+'Statements &amp; Checks'!G23/'Income Statement'!G7*365</f>
        <v>20.776495943204868</v>
      </c>
      <c r="H42" s="14">
        <v>18</v>
      </c>
      <c r="I42" s="14">
        <v>22</v>
      </c>
      <c r="J42" s="14">
        <v>19</v>
      </c>
      <c r="K42" s="14">
        <v>19</v>
      </c>
      <c r="L42" s="14">
        <v>21</v>
      </c>
    </row>
    <row r="44" spans="2:12" x14ac:dyDescent="0.3">
      <c r="C44" t="s">
        <v>36</v>
      </c>
      <c r="D44" t="s">
        <v>18</v>
      </c>
      <c r="E44" s="15">
        <f>+'Statements &amp; Checks'!E9/'Income Statement'!E12</f>
        <v>0.9186500888099467</v>
      </c>
      <c r="F44" s="15">
        <f>+'Statements &amp; Checks'!F9/'Income Statement'!F12</f>
        <v>0.14973861090365945</v>
      </c>
      <c r="G44" s="15">
        <f>+'Statements &amp; Checks'!G9/'Income Statement'!G12</f>
        <v>0.14108398841539099</v>
      </c>
      <c r="H44" s="7">
        <v>0.154303</v>
      </c>
      <c r="I44" s="7">
        <v>0.10845</v>
      </c>
      <c r="J44" s="7">
        <v>0.111678</v>
      </c>
      <c r="K44" s="7">
        <v>0.115705</v>
      </c>
      <c r="L44" s="7">
        <v>9.2777999999999999E-2</v>
      </c>
    </row>
    <row r="45" spans="2:12" x14ac:dyDescent="0.3">
      <c r="C45" t="s">
        <v>37</v>
      </c>
      <c r="D45" t="s">
        <v>18</v>
      </c>
      <c r="E45" s="15">
        <f>+'Statements &amp; Checks'!E16/'Income Statement'!E5</f>
        <v>0.11008135833038557</v>
      </c>
      <c r="F45" s="15">
        <f>+'Statements &amp; Checks'!F16/'Income Statement'!F5</f>
        <v>0.1000414250207125</v>
      </c>
      <c r="G45" s="15">
        <f>+'Statements &amp; Checks'!G16/'Income Statement'!G5</f>
        <v>0.10690041029466617</v>
      </c>
      <c r="H45" s="9">
        <f>AVERAGE(E45:G45)</f>
        <v>0.10567439788192141</v>
      </c>
      <c r="I45" s="9">
        <f t="shared" si="0" ref="I45:L46">+H45</f>
        <v>0.10567439788192141</v>
      </c>
      <c r="J45" s="9">
        <f t="shared" si="0"/>
        <v>0.10567439788192141</v>
      </c>
      <c r="K45" s="9">
        <f t="shared" si="0"/>
        <v>0.10567439788192141</v>
      </c>
      <c r="L45" s="9">
        <f t="shared" si="0"/>
        <v>0.10567439788192141</v>
      </c>
    </row>
    <row r="46" spans="2:12" x14ac:dyDescent="0.3">
      <c r="C46" t="s">
        <v>38</v>
      </c>
      <c r="D46" t="s">
        <v>18</v>
      </c>
      <c r="E46" s="15">
        <f>+'Statements &amp; Checks'!E24/'Income Statement'!E12</f>
        <v>0.45186500888099468</v>
      </c>
      <c r="F46" s="15">
        <f>+'Statements &amp; Checks'!F24/'Income Statement'!F12</f>
        <v>0.48058252427184467</v>
      </c>
      <c r="G46" s="15">
        <f>+'Statements &amp; Checks'!G24/'Income Statement'!G12</f>
        <v>0.47000413736036406</v>
      </c>
      <c r="H46" s="9">
        <f>AVERAGE(E46:G46)</f>
        <v>0.46748389017106778</v>
      </c>
      <c r="I46" s="9">
        <f t="shared" si="0"/>
        <v>0.46748389017106778</v>
      </c>
      <c r="J46" s="9">
        <f t="shared" si="0"/>
        <v>0.46748389017106778</v>
      </c>
      <c r="K46" s="9">
        <f t="shared" si="0"/>
        <v>0.46748389017106778</v>
      </c>
      <c r="L46" s="9">
        <f t="shared" si="0"/>
        <v>0.46748389017106778</v>
      </c>
    </row>
    <row r="48" spans="2:12" x14ac:dyDescent="0.3">
      <c r="C48" t="s">
        <v>39</v>
      </c>
      <c r="D48" t="s">
        <v>18</v>
      </c>
      <c r="E48" s="15">
        <f>+'Statements &amp; Checks'!E25/'Income Statement'!E12</f>
        <v>0.20497335701598579</v>
      </c>
      <c r="F48" s="15">
        <f>+'Statements &amp; Checks'!F25/'Income Statement'!F12</f>
        <v>9.3353248693054516E-2</v>
      </c>
      <c r="G48" s="15">
        <f>+'Statements &amp; Checks'!G25/'Income Statement'!G12</f>
        <v>0.1063301613570542</v>
      </c>
      <c r="H48" s="7">
        <v>0.114902</v>
      </c>
      <c r="I48" s="7">
        <v>0.118239</v>
      </c>
      <c r="J48" s="7">
        <v>0.105805</v>
      </c>
      <c r="K48" s="7">
        <v>8.6251999999999995E-2</v>
      </c>
      <c r="L48" s="7">
        <v>9.7827999999999998E-2</v>
      </c>
    </row>
    <row r="49" spans="2:12" x14ac:dyDescent="0.3">
      <c r="C49" t="s">
        <v>40</v>
      </c>
      <c r="D49" t="s">
        <v>18</v>
      </c>
      <c r="E49" s="15">
        <f>+'Statements &amp; Checks'!E31/'Income Statement'!E12</f>
        <v>0.32788632326820605</v>
      </c>
      <c r="F49" s="15">
        <f>+'Statements &amp; Checks'!F31/'Income Statement'!F12</f>
        <v>0.37415982076176252</v>
      </c>
      <c r="G49" s="15">
        <f>+'Statements &amp; Checks'!G31/'Income Statement'!G12</f>
        <v>0.40587505171700455</v>
      </c>
      <c r="H49" s="9">
        <f>AVERAGE(E49:G49)</f>
        <v>0.36930706524899098</v>
      </c>
      <c r="I49" s="9">
        <f>+H49</f>
        <v>0.36930706524899098</v>
      </c>
      <c r="J49" s="9">
        <f>+I49</f>
        <v>0.36930706524899098</v>
      </c>
      <c r="K49" s="9">
        <f>+J49</f>
        <v>0.36930706524899098</v>
      </c>
      <c r="L49" s="9">
        <f>+K49</f>
        <v>0.36930706524899098</v>
      </c>
    </row>
    <row r="51" spans="2:12" x14ac:dyDescent="0.3">
      <c r="B51" s="25" t="s">
        <v>41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</row>
    <row r="52" spans="2:12" x14ac:dyDescent="0.3">
      <c r="C52" t="s">
        <v>42</v>
      </c>
      <c r="D52" t="s">
        <v>22</v>
      </c>
      <c r="H52" s="10">
        <v>-238</v>
      </c>
      <c r="I52" s="10">
        <v>-306</v>
      </c>
      <c r="J52" s="10">
        <v>-327</v>
      </c>
      <c r="K52" s="10">
        <v>-458</v>
      </c>
      <c r="L52" s="10">
        <v>-533</v>
      </c>
    </row>
    <row r="53" spans="2:12" x14ac:dyDescent="0.3">
      <c r="C53" t="s">
        <v>43</v>
      </c>
      <c r="D53" t="s">
        <v>18</v>
      </c>
      <c r="E53" s="15">
        <f>+'Statements &amp; Checks'!E48/'Income Statement'!E5</f>
        <v>2.1153165900247611E-2</v>
      </c>
      <c r="F53" s="15">
        <f>+'Statements &amp; Checks'!F48/'Income Statement'!F5</f>
        <v>1.8088925711129522E-2</v>
      </c>
      <c r="G53" s="15">
        <f>+'Statements &amp; Checks'!G48/'Income Statement'!G5</f>
        <v>1.8202163371876166E-2</v>
      </c>
      <c r="H53" s="7">
        <v>1.8508E-2</v>
      </c>
      <c r="I53" s="7">
        <v>1.9907000000000001E-2</v>
      </c>
      <c r="J53" s="7">
        <v>1.5833E-2</v>
      </c>
      <c r="K53" s="7">
        <v>1.9897999999999999E-2</v>
      </c>
      <c r="L53" s="7">
        <v>2.2891000000000002E-2</v>
      </c>
    </row>
    <row r="55" spans="2:12" x14ac:dyDescent="0.3">
      <c r="C55" t="s">
        <v>44</v>
      </c>
      <c r="D55" t="s">
        <v>18</v>
      </c>
      <c r="E55" s="15">
        <f>+'Statements &amp; Checks'!E52/'Income Statement'!E5</f>
        <v>2.6176158471878318E-3</v>
      </c>
      <c r="F55" s="15">
        <f>+'Statements &amp; Checks'!F52/'Income Statement'!F5</f>
        <v>2.6926263463131731E-3</v>
      </c>
      <c r="G55" s="15">
        <f>+'Statements &amp; Checks'!G52/'Income Statement'!G5</f>
        <v>3.0585602387168966E-3</v>
      </c>
      <c r="H55" s="9">
        <f>AVERAGE(E55:G55)</f>
        <v>2.7896008107393005E-3</v>
      </c>
      <c r="I55" s="9">
        <f>+H55</f>
        <v>2.7896008107393005E-3</v>
      </c>
      <c r="J55" s="9">
        <f>+I55</f>
        <v>2.7896008107393005E-3</v>
      </c>
      <c r="K55" s="9">
        <f>+J55</f>
        <v>2.7896008107393005E-3</v>
      </c>
      <c r="L55" s="9">
        <f>+K55</f>
        <v>2.7896008107393005E-3</v>
      </c>
    </row>
    <row r="57" spans="2:12" x14ac:dyDescent="0.3">
      <c r="C57" t="s">
        <v>45</v>
      </c>
      <c r="D57" t="s">
        <v>18</v>
      </c>
      <c r="E57" s="15">
        <f>-'Statements &amp; Checks'!E51/'Income Statement'!E26</f>
        <v>8.368200836820083E-3</v>
      </c>
      <c r="F57" s="15">
        <f>-'Statements &amp; Checks'!F51/'Income Statement'!F26</f>
        <v>6.7985166872682329E-2</v>
      </c>
      <c r="G57" s="15">
        <f>-'Statements &amp; Checks'!G51/'Income Statement'!G26</f>
        <v>-1.3414634146341463E-2</v>
      </c>
      <c r="H57" s="9">
        <f>AVERAGE(E57:G57)</f>
        <v>2.0979577854386981E-2</v>
      </c>
      <c r="I57" s="9">
        <f t="shared" si="1" ref="I57:L58">+H57</f>
        <v>2.0979577854386981E-2</v>
      </c>
      <c r="J57" s="9">
        <f t="shared" si="1"/>
        <v>2.0979577854386981E-2</v>
      </c>
      <c r="K57" s="9">
        <f t="shared" si="1"/>
        <v>2.0979577854386981E-2</v>
      </c>
      <c r="L57" s="9">
        <f t="shared" si="1"/>
        <v>2.0979577854386981E-2</v>
      </c>
    </row>
    <row r="58" spans="2:12" x14ac:dyDescent="0.3">
      <c r="C58" t="s">
        <v>46</v>
      </c>
      <c r="D58" t="s">
        <v>18</v>
      </c>
      <c r="E58" s="15">
        <f>-'Statements &amp; Checks'!E69/'Income Statement'!E31</f>
        <v>0.31447290053603333</v>
      </c>
      <c r="F58" s="15">
        <f>-'Statements &amp; Checks'!F69/'Income Statement'!F31</f>
        <v>0.24134419551934827</v>
      </c>
      <c r="G58" s="15">
        <f>-'Statements &amp; Checks'!G69/'Income Statement'!G31</f>
        <v>0.39073196419167983</v>
      </c>
      <c r="H58" s="9">
        <f>AVERAGE(E58:G58)</f>
        <v>0.31551635341568712</v>
      </c>
      <c r="I58" s="9">
        <f t="shared" si="1"/>
        <v>0.31551635341568712</v>
      </c>
      <c r="J58" s="9">
        <f t="shared" si="1"/>
        <v>0.31551635341568712</v>
      </c>
      <c r="K58" s="9">
        <f t="shared" si="1"/>
        <v>0.31551635341568712</v>
      </c>
      <c r="L58" s="9">
        <f t="shared" si="1"/>
        <v>0.31551635341568712</v>
      </c>
    </row>
    <row r="60" spans="2:12" x14ac:dyDescent="0.3">
      <c r="C60" t="s">
        <v>47</v>
      </c>
      <c r="D60" t="s">
        <v>22</v>
      </c>
      <c r="E60" s="12">
        <f>-'Statements &amp; Checks'!E70</f>
        <v>1900</v>
      </c>
      <c r="F60" s="12">
        <f>-'Statements &amp; Checks'!F70</f>
        <v>4198</v>
      </c>
      <c r="G60" s="12">
        <f>-'Statements &amp; Checks'!G70</f>
        <v>1943</v>
      </c>
      <c r="H60" s="10">
        <v>801</v>
      </c>
      <c r="I60" s="12">
        <f>+H60</f>
        <v>801</v>
      </c>
      <c r="J60" s="12">
        <f>+I60</f>
        <v>801</v>
      </c>
      <c r="K60" s="12">
        <f>+J60</f>
        <v>801</v>
      </c>
      <c r="L60" s="12">
        <f>+K60</f>
        <v>801</v>
      </c>
    </row>
    <row r="62" spans="2:12" x14ac:dyDescent="0.3">
      <c r="C62" t="s">
        <v>48</v>
      </c>
      <c r="D62" t="s">
        <v>22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2:12" x14ac:dyDescent="0.3">
      <c r="C63" t="s">
        <v>49</v>
      </c>
      <c r="D63" t="s">
        <v>22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2:12" x14ac:dyDescent="0.3">
      <c r="C64" t="s">
        <v>50</v>
      </c>
      <c r="D64" t="s">
        <v>22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6" spans="3:12" x14ac:dyDescent="0.3">
      <c r="C66" t="s">
        <v>51</v>
      </c>
      <c r="D66" t="s">
        <v>18</v>
      </c>
      <c r="E66" s="15">
        <f>+'Statements &amp; Checks'!E75/'Income Statement'!E5</f>
        <v>-6.5794128050937388E-3</v>
      </c>
      <c r="F66" s="15">
        <f>+'Statements &amp; Checks'!F75/'Income Statement'!F5</f>
        <v>-3.6937310135321734E-2</v>
      </c>
      <c r="G66" s="15">
        <f>+'Statements &amp; Checks'!G75/'Income Statement'!G5</f>
        <v>-3.4539350988437148E-2</v>
      </c>
      <c r="H66" s="9">
        <f>AVERAGE(E66:G66)</f>
        <v>-2.601869130961754E-2</v>
      </c>
      <c r="I66" s="9">
        <f>+H66</f>
        <v>-2.601869130961754E-2</v>
      </c>
      <c r="J66" s="9">
        <f>+I66</f>
        <v>-2.601869130961754E-2</v>
      </c>
      <c r="K66" s="9">
        <f>+J66</f>
        <v>-2.601869130961754E-2</v>
      </c>
      <c r="L66" s="9">
        <f>+K66</f>
        <v>-2.601869130961754E-2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31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52</v>
      </c>
      <c r="C3" s="25"/>
      <c r="D3" s="26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5" spans="2:12" x14ac:dyDescent="0.3">
      <c r="C5" t="s">
        <v>53</v>
      </c>
      <c r="D5" t="s">
        <v>22</v>
      </c>
      <c r="E5" s="16">
        <v>14135</v>
      </c>
      <c r="F5" s="16">
        <v>14484</v>
      </c>
      <c r="G5" s="16">
        <v>13405</v>
      </c>
      <c r="H5" s="16"/>
      <c r="I5" s="16"/>
      <c r="J5" s="16"/>
      <c r="K5" s="16"/>
      <c r="L5" s="16"/>
    </row>
    <row r="7" spans="2:12" x14ac:dyDescent="0.3">
      <c r="C7" t="s">
        <v>54</v>
      </c>
      <c r="D7" t="s">
        <v>22</v>
      </c>
      <c r="E7" s="12">
        <v>8554</v>
      </c>
      <c r="F7" s="12">
        <v>8673</v>
      </c>
      <c r="G7" s="12">
        <v>7888</v>
      </c>
      <c r="H7" s="12"/>
      <c r="I7" s="12"/>
      <c r="J7" s="12"/>
      <c r="K7" s="12"/>
      <c r="L7" s="12"/>
    </row>
    <row r="9" spans="2:12" x14ac:dyDescent="0.3">
      <c r="C9" t="s">
        <v>55</v>
      </c>
      <c r="D9" t="s">
        <v>22</v>
      </c>
      <c r="E9" s="12">
        <v>5581</v>
      </c>
      <c r="F9" s="12">
        <v>5811</v>
      </c>
      <c r="G9" s="12">
        <v>5517</v>
      </c>
      <c r="H9" s="23"/>
      <c r="I9" s="23"/>
      <c r="J9" s="23"/>
      <c r="K9" s="23"/>
      <c r="L9" s="23"/>
    </row>
    <row r="11" spans="2:12" x14ac:dyDescent="0.3">
      <c r="C11" t="s">
        <v>56</v>
      </c>
    </row>
    <row r="12" spans="2:12" x14ac:dyDescent="0.3">
      <c r="C12" t="s">
        <v>57</v>
      </c>
      <c r="D12" t="s">
        <v>22</v>
      </c>
      <c r="E12" s="12">
        <v>2815</v>
      </c>
      <c r="F12" s="12">
        <v>2678</v>
      </c>
      <c r="G12" s="12">
        <v>2417</v>
      </c>
      <c r="H12" s="12"/>
      <c r="I12" s="12"/>
      <c r="J12" s="12"/>
      <c r="K12" s="12"/>
      <c r="L12" s="12"/>
    </row>
    <row r="13" spans="2:12" x14ac:dyDescent="0.3">
      <c r="C13" s="11" t="s">
        <v>58</v>
      </c>
      <c r="D13" t="s">
        <v>22</v>
      </c>
      <c r="E13" s="12">
        <v>250</v>
      </c>
      <c r="F13" s="12">
        <v>242</v>
      </c>
      <c r="G13" s="12">
        <v>231</v>
      </c>
      <c r="H13" s="12"/>
      <c r="I13" s="12"/>
      <c r="J13" s="12"/>
      <c r="K13" s="12"/>
      <c r="L13" s="12"/>
    </row>
    <row r="14" spans="2:12" x14ac:dyDescent="0.3">
      <c r="C14" s="11" t="s">
        <v>59</v>
      </c>
      <c r="D14" t="s">
        <v>22</v>
      </c>
      <c r="E14" s="12">
        <v>2</v>
      </c>
      <c r="F14" s="12">
        <v>3</v>
      </c>
      <c r="G14" s="12">
        <v>2</v>
      </c>
      <c r="H14" s="12"/>
      <c r="I14" s="12"/>
      <c r="J14" s="12"/>
      <c r="K14" s="12"/>
      <c r="L14" s="12"/>
    </row>
    <row r="15" spans="2:12" x14ac:dyDescent="0.3">
      <c r="C15" s="11" t="s">
        <v>60</v>
      </c>
      <c r="D15" t="s">
        <v>22</v>
      </c>
      <c r="E15" s="12">
        <v>3067</v>
      </c>
      <c r="F15" s="12">
        <v>2923</v>
      </c>
      <c r="G15" s="12">
        <v>2650</v>
      </c>
      <c r="H15" s="12"/>
      <c r="I15" s="12"/>
      <c r="J15" s="12"/>
      <c r="K15" s="12"/>
      <c r="L15" s="12"/>
    </row>
    <row r="17" spans="3:12" x14ac:dyDescent="0.3">
      <c r="C17" t="s">
        <v>61</v>
      </c>
      <c r="D17" t="s">
        <v>22</v>
      </c>
      <c r="E17" s="12">
        <v>2514</v>
      </c>
      <c r="F17" s="12">
        <v>2888</v>
      </c>
      <c r="G17" s="12">
        <v>2867</v>
      </c>
      <c r="H17" s="12"/>
      <c r="I17" s="12"/>
      <c r="J17" s="12"/>
      <c r="K17" s="12"/>
      <c r="L17" s="12"/>
    </row>
    <row r="18" spans="3:12" x14ac:dyDescent="0.3">
      <c r="C18" t="s">
        <v>62</v>
      </c>
      <c r="D18" t="s">
        <v>18</v>
      </c>
      <c r="E18" s="9">
        <v>0.17785638486027591</v>
      </c>
      <c r="F18" s="9">
        <v>0.19939243302954979</v>
      </c>
      <c r="G18" s="9">
        <v>0.21387541961954501</v>
      </c>
      <c r="H18" s="9"/>
      <c r="I18" s="9"/>
      <c r="J18" s="9"/>
      <c r="K18" s="9"/>
      <c r="L18" s="9"/>
    </row>
    <row r="20" spans="3:12" x14ac:dyDescent="0.3">
      <c r="C20" t="s">
        <v>63</v>
      </c>
    </row>
    <row r="21" spans="3:12" x14ac:dyDescent="0.3">
      <c r="C21" s="11" t="s">
        <v>64</v>
      </c>
      <c r="D21" t="s">
        <v>22</v>
      </c>
      <c r="E21" s="12">
        <v>-239</v>
      </c>
      <c r="F21" s="12">
        <v>-250</v>
      </c>
      <c r="G21" s="12">
        <v>-226</v>
      </c>
      <c r="H21" s="12"/>
      <c r="I21" s="12"/>
      <c r="J21" s="12"/>
      <c r="K21" s="12"/>
      <c r="L21" s="12"/>
    </row>
    <row r="22" spans="3:12" x14ac:dyDescent="0.3">
      <c r="C22" s="11" t="s">
        <v>65</v>
      </c>
      <c r="D22" t="s">
        <v>22</v>
      </c>
      <c r="E22" s="12">
        <v>72</v>
      </c>
      <c r="F22" s="12">
        <v>61</v>
      </c>
      <c r="G22" s="12">
        <v>78</v>
      </c>
      <c r="H22" s="12"/>
      <c r="I22" s="12"/>
      <c r="J22" s="12"/>
      <c r="K22" s="12"/>
      <c r="L22" s="12"/>
    </row>
    <row r="23" spans="3:12" x14ac:dyDescent="0.3">
      <c r="C23" s="11" t="s">
        <v>66</v>
      </c>
      <c r="D23" t="s">
        <v>22</v>
      </c>
      <c r="E23" s="12">
        <v>-167</v>
      </c>
      <c r="F23" s="12">
        <v>-189</v>
      </c>
      <c r="G23" s="12">
        <v>-148</v>
      </c>
      <c r="H23" s="12"/>
      <c r="I23" s="12"/>
      <c r="J23" s="12"/>
      <c r="K23" s="12"/>
      <c r="L23" s="12"/>
    </row>
    <row r="25" spans="3:12" x14ac:dyDescent="0.3">
      <c r="C25" t="s">
        <v>67</v>
      </c>
      <c r="D25" t="s">
        <v>22</v>
      </c>
      <c r="E25" s="12">
        <v>2347</v>
      </c>
      <c r="F25" s="12">
        <v>2699</v>
      </c>
      <c r="G25" s="12">
        <v>2719</v>
      </c>
      <c r="H25" s="12"/>
      <c r="I25" s="12"/>
      <c r="J25" s="12"/>
      <c r="K25" s="12"/>
      <c r="L25" s="12"/>
    </row>
    <row r="26" spans="3:12" x14ac:dyDescent="0.3">
      <c r="C26" t="s">
        <v>68</v>
      </c>
      <c r="D26" t="s">
        <v>22</v>
      </c>
      <c r="E26" s="12">
        <v>-717</v>
      </c>
      <c r="F26" s="12">
        <v>-809</v>
      </c>
      <c r="G26" s="12">
        <v>-820</v>
      </c>
      <c r="H26" s="12"/>
      <c r="I26" s="12"/>
      <c r="J26" s="12"/>
      <c r="K26" s="12"/>
      <c r="L26" s="12"/>
    </row>
    <row r="27" spans="3:12" x14ac:dyDescent="0.3">
      <c r="C27" t="s">
        <v>69</v>
      </c>
      <c r="D27" t="s">
        <v>22</v>
      </c>
      <c r="E27" s="12">
        <v>1630</v>
      </c>
      <c r="F27" s="12">
        <v>1890</v>
      </c>
      <c r="G27" s="12">
        <v>1899</v>
      </c>
      <c r="H27" s="12"/>
      <c r="I27" s="12"/>
      <c r="J27" s="12"/>
      <c r="K27" s="12"/>
      <c r="L27" s="12"/>
    </row>
    <row r="29" spans="3:12" x14ac:dyDescent="0.3">
      <c r="C29" t="s">
        <v>70</v>
      </c>
      <c r="D29" t="s">
        <v>22</v>
      </c>
      <c r="E29" s="12">
        <v>49</v>
      </c>
      <c r="F29" s="12">
        <v>1056</v>
      </c>
      <c r="G29" s="12">
        <v>0</v>
      </c>
      <c r="H29" s="12"/>
      <c r="I29" s="12"/>
      <c r="J29" s="12"/>
      <c r="K29" s="12"/>
      <c r="L29" s="12"/>
    </row>
    <row r="31" spans="3:12" x14ac:dyDescent="0.3">
      <c r="C31" t="s">
        <v>71</v>
      </c>
      <c r="D31" t="s">
        <v>22</v>
      </c>
      <c r="E31" s="16">
        <v>1679</v>
      </c>
      <c r="F31" s="16">
        <v>2946</v>
      </c>
      <c r="G31" s="16">
        <v>1899</v>
      </c>
      <c r="H31" s="16"/>
      <c r="I31" s="16"/>
      <c r="J31" s="16"/>
      <c r="K31" s="16"/>
      <c r="L31" s="16"/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79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72</v>
      </c>
      <c r="C3" s="25"/>
      <c r="D3" s="26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4" spans="2:12" x14ac:dyDescent="0.3">
      <c r="B4" s="29" t="s">
        <v>73</v>
      </c>
      <c r="C4" s="25"/>
      <c r="D4" s="26"/>
      <c r="E4" s="26"/>
      <c r="F4" s="26"/>
      <c r="G4" s="26"/>
      <c r="H4" s="26"/>
      <c r="I4" s="26"/>
      <c r="J4" s="26"/>
      <c r="K4" s="26"/>
      <c r="L4" s="26"/>
    </row>
    <row r="5" spans="2:12" x14ac:dyDescent="0.3">
      <c r="C5" t="s">
        <v>74</v>
      </c>
    </row>
    <row r="6" spans="2:12" x14ac:dyDescent="0.3">
      <c r="C6" t="s">
        <v>75</v>
      </c>
      <c r="D6" t="s">
        <v>22</v>
      </c>
      <c r="E6" s="16">
        <v>3618</v>
      </c>
      <c r="F6" s="16">
        <v>3990</v>
      </c>
      <c r="G6" s="16">
        <v>3090</v>
      </c>
      <c r="H6" s="16">
        <f>+H79</f>
        <v>3662.6386360000001</v>
      </c>
      <c r="I6" s="16">
        <f>+I79</f>
        <v>1830.6725200000001</v>
      </c>
      <c r="J6" s="16">
        <f>+J79</f>
        <v>-80.897707999999966</v>
      </c>
      <c r="K6" s="16">
        <f>+K79</f>
        <v>-2167.3393780000001</v>
      </c>
      <c r="L6" s="16">
        <f>+L79</f>
        <v>-4213.9998180000002</v>
      </c>
    </row>
    <row r="7" spans="2:12" x14ac:dyDescent="0.3">
      <c r="C7" t="s">
        <v>76</v>
      </c>
      <c r="D7" t="s">
        <v>22</v>
      </c>
      <c r="E7" s="12">
        <v>2365</v>
      </c>
      <c r="F7" s="12">
        <v>2293</v>
      </c>
      <c r="G7" s="12">
        <v>2203</v>
      </c>
      <c r="H7" s="12">
        <f>+Drivers!H40/365*'Income Statement'!H5</f>
        <v>0</v>
      </c>
      <c r="I7" s="12">
        <f>+Drivers!I40/365*'Income Statement'!I5</f>
        <v>0</v>
      </c>
      <c r="J7" s="12">
        <f>+Drivers!J40/365*'Income Statement'!J5</f>
        <v>0</v>
      </c>
      <c r="K7" s="12">
        <f>+Drivers!K40/365*'Income Statement'!K5</f>
        <v>0</v>
      </c>
      <c r="L7" s="12">
        <f>+Drivers!L40/365*'Income Statement'!L5</f>
        <v>0</v>
      </c>
    </row>
    <row r="8" spans="2:12" x14ac:dyDescent="0.3">
      <c r="C8" t="s">
        <v>77</v>
      </c>
      <c r="D8" t="s">
        <v>22</v>
      </c>
      <c r="E8" s="12">
        <v>1247</v>
      </c>
      <c r="F8" s="12">
        <v>1180</v>
      </c>
      <c r="G8" s="12">
        <v>1086</v>
      </c>
      <c r="H8" s="12">
        <f>+Drivers!H41/365*'Income Statement'!H7</f>
        <v>0</v>
      </c>
      <c r="I8" s="12">
        <f>+Drivers!I41/365*'Income Statement'!I7</f>
        <v>0</v>
      </c>
      <c r="J8" s="12">
        <f>+Drivers!J41/365*'Income Statement'!J7</f>
        <v>0</v>
      </c>
      <c r="K8" s="12">
        <f>+Drivers!K41/365*'Income Statement'!K7</f>
        <v>0</v>
      </c>
      <c r="L8" s="12">
        <f>+Drivers!L41/365*'Income Statement'!L7</f>
        <v>0</v>
      </c>
    </row>
    <row r="9" spans="2:12" x14ac:dyDescent="0.3">
      <c r="C9" t="s">
        <v>78</v>
      </c>
      <c r="D9" t="s">
        <v>22</v>
      </c>
      <c r="E9" s="12">
        <v>2586</v>
      </c>
      <c r="F9" s="12">
        <v>401</v>
      </c>
      <c r="G9" s="12">
        <v>341</v>
      </c>
      <c r="H9" s="12">
        <f>+Drivers!H44*'Income Statement'!H12</f>
        <v>0</v>
      </c>
      <c r="I9" s="12">
        <f>+Drivers!I44*'Income Statement'!I12</f>
        <v>0</v>
      </c>
      <c r="J9" s="12">
        <f>+Drivers!J44*'Income Statement'!J12</f>
        <v>0</v>
      </c>
      <c r="K9" s="12">
        <f>+Drivers!K44*'Income Statement'!K12</f>
        <v>0</v>
      </c>
      <c r="L9" s="12">
        <f>+Drivers!L44*'Income Statement'!L12</f>
        <v>0</v>
      </c>
    </row>
    <row r="10" spans="2:12" x14ac:dyDescent="0.3">
      <c r="C10" t="s">
        <v>79</v>
      </c>
      <c r="D10" t="s">
        <v>22</v>
      </c>
      <c r="E10" s="12">
        <v>9816</v>
      </c>
      <c r="F10" s="12">
        <v>7864</v>
      </c>
      <c r="G10" s="12">
        <v>6720</v>
      </c>
      <c r="H10" s="12">
        <f>SUM(H6:H9)</f>
        <v>3662.6386360000001</v>
      </c>
      <c r="I10" s="12">
        <f>SUM(I6:I9)</f>
        <v>1830.6725200000001</v>
      </c>
      <c r="J10" s="12">
        <f>SUM(J6:J9)</f>
        <v>-80.897707999999966</v>
      </c>
      <c r="K10" s="12">
        <f>SUM(K6:K9)</f>
        <v>-2167.3393780000001</v>
      </c>
      <c r="L10" s="12">
        <f>SUM(L6:L9)</f>
        <v>-4213.9998180000002</v>
      </c>
    </row>
    <row r="12" spans="2:12" x14ac:dyDescent="0.3">
      <c r="C12" t="s">
        <v>80</v>
      </c>
    </row>
    <row r="13" spans="2:12" x14ac:dyDescent="0.3">
      <c r="C13" t="s">
        <v>81</v>
      </c>
      <c r="D13" t="s">
        <v>22</v>
      </c>
      <c r="E13" s="12">
        <v>1709</v>
      </c>
      <c r="F13" s="12">
        <v>1686</v>
      </c>
      <c r="G13" s="12">
        <v>1577</v>
      </c>
      <c r="H13" s="12">
        <f>+G13-H48-H64-H65</f>
        <v>1815</v>
      </c>
      <c r="I13" s="12">
        <f>+H13-I48-I64-I65</f>
        <v>2121</v>
      </c>
      <c r="J13" s="12">
        <f>+I13-J48-J64-J65</f>
        <v>2448</v>
      </c>
      <c r="K13" s="12">
        <f>+J13-K48-K64-K65</f>
        <v>2906</v>
      </c>
      <c r="L13" s="12">
        <f>+K13-L48-L64-L65</f>
        <v>3439</v>
      </c>
    </row>
    <row r="14" spans="2:12" x14ac:dyDescent="0.3">
      <c r="C14" t="s">
        <v>82</v>
      </c>
      <c r="D14" t="s">
        <v>22</v>
      </c>
      <c r="E14" s="12">
        <v>4886</v>
      </c>
      <c r="F14" s="12">
        <v>4667</v>
      </c>
      <c r="G14" s="12">
        <v>4439</v>
      </c>
      <c r="H14" s="12">
        <f t="shared" si="0" ref="H14:L15">+G14-H49</f>
        <v>4439</v>
      </c>
      <c r="I14" s="12">
        <f t="shared" si="0"/>
        <v>4439</v>
      </c>
      <c r="J14" s="12">
        <f t="shared" si="0"/>
        <v>4439</v>
      </c>
      <c r="K14" s="12">
        <f t="shared" si="0"/>
        <v>4439</v>
      </c>
      <c r="L14" s="12">
        <f t="shared" si="0"/>
        <v>4439</v>
      </c>
    </row>
    <row r="15" spans="2:12" x14ac:dyDescent="0.3">
      <c r="C15" t="s">
        <v>83</v>
      </c>
      <c r="D15" t="s">
        <v>22</v>
      </c>
      <c r="E15" s="12">
        <v>1999</v>
      </c>
      <c r="F15" s="12">
        <v>1799</v>
      </c>
      <c r="G15" s="12">
        <v>1560</v>
      </c>
      <c r="H15" s="12">
        <f t="shared" si="0"/>
        <v>1560</v>
      </c>
      <c r="I15" s="12">
        <f t="shared" si="0"/>
        <v>1560</v>
      </c>
      <c r="J15" s="12">
        <f t="shared" si="0"/>
        <v>1560</v>
      </c>
      <c r="K15" s="12">
        <f t="shared" si="0"/>
        <v>1560</v>
      </c>
      <c r="L15" s="12">
        <f t="shared" si="0"/>
        <v>1560</v>
      </c>
    </row>
    <row r="16" spans="2:12" x14ac:dyDescent="0.3">
      <c r="C16" t="s">
        <v>84</v>
      </c>
      <c r="D16" t="s">
        <v>22</v>
      </c>
      <c r="E16" s="12">
        <v>1556</v>
      </c>
      <c r="F16" s="12">
        <v>1449</v>
      </c>
      <c r="G16" s="12">
        <v>1433</v>
      </c>
      <c r="H16" s="12">
        <f>+Drivers!H45*'Income Statement'!H5</f>
        <v>0</v>
      </c>
      <c r="I16" s="12">
        <f>+Drivers!I45*'Income Statement'!I5</f>
        <v>0</v>
      </c>
      <c r="J16" s="12">
        <f>+Drivers!J45*'Income Statement'!J5</f>
        <v>0</v>
      </c>
      <c r="K16" s="12">
        <f>+Drivers!K45*'Income Statement'!K5</f>
        <v>0</v>
      </c>
      <c r="L16" s="12">
        <f>+Drivers!L45*'Income Statement'!L5</f>
        <v>0</v>
      </c>
    </row>
    <row r="17" spans="2:12" x14ac:dyDescent="0.3">
      <c r="C17" t="s">
        <v>85</v>
      </c>
      <c r="D17" t="s">
        <v>22</v>
      </c>
      <c r="E17" s="12">
        <v>10150</v>
      </c>
      <c r="F17" s="12">
        <v>9601</v>
      </c>
      <c r="G17" s="12">
        <v>9009</v>
      </c>
      <c r="H17" s="12">
        <f>SUM(H13:H16)</f>
        <v>7814</v>
      </c>
      <c r="I17" s="12">
        <f>SUM(I13:I16)</f>
        <v>8120</v>
      </c>
      <c r="J17" s="12">
        <f>SUM(J13:J16)</f>
        <v>8447</v>
      </c>
      <c r="K17" s="12">
        <f>SUM(K13:K16)</f>
        <v>8905</v>
      </c>
      <c r="L17" s="12">
        <f>SUM(L13:L16)</f>
        <v>9438</v>
      </c>
    </row>
    <row r="19" spans="2:12" x14ac:dyDescent="0.3">
      <c r="C19" t="s">
        <v>86</v>
      </c>
      <c r="D19" t="s">
        <v>22</v>
      </c>
      <c r="E19" s="16">
        <v>19966</v>
      </c>
      <c r="F19" s="16">
        <v>17465</v>
      </c>
      <c r="G19" s="16">
        <v>15729</v>
      </c>
      <c r="H19" s="16">
        <f>+H10+H17</f>
        <v>11476.638636</v>
      </c>
      <c r="I19" s="16">
        <f>+I10+I17</f>
        <v>9950.6725200000001</v>
      </c>
      <c r="J19" s="16">
        <f>+J10+J17</f>
        <v>8366.1022919999996</v>
      </c>
      <c r="K19" s="16">
        <f>+K10+K17</f>
        <v>6737.6606219999994</v>
      </c>
      <c r="L19" s="16">
        <f>+L10+L17</f>
        <v>5224.0001819999998</v>
      </c>
    </row>
    <row r="21" spans="2:12" x14ac:dyDescent="0.3">
      <c r="B21" s="25" t="s">
        <v>87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x14ac:dyDescent="0.3">
      <c r="C22" t="s">
        <v>88</v>
      </c>
    </row>
    <row r="23" spans="2:12" x14ac:dyDescent="0.3">
      <c r="C23" t="s">
        <v>89</v>
      </c>
      <c r="D23" t="s">
        <v>22</v>
      </c>
      <c r="E23" s="16">
        <v>634</v>
      </c>
      <c r="F23" s="16">
        <v>512</v>
      </c>
      <c r="G23" s="16">
        <v>449</v>
      </c>
      <c r="H23" s="16">
        <f>+Drivers!H42/365*'Income Statement'!H7</f>
        <v>0</v>
      </c>
      <c r="I23" s="16">
        <f>+Drivers!I42/365*'Income Statement'!I7</f>
        <v>0</v>
      </c>
      <c r="J23" s="16">
        <f>+Drivers!J42/365*'Income Statement'!J7</f>
        <v>0</v>
      </c>
      <c r="K23" s="16">
        <f>+Drivers!K42/365*'Income Statement'!K7</f>
        <v>0</v>
      </c>
      <c r="L23" s="16">
        <f>+Drivers!L42/365*'Income Statement'!L7</f>
        <v>0</v>
      </c>
    </row>
    <row r="24" spans="2:12" x14ac:dyDescent="0.3">
      <c r="C24" t="s">
        <v>90</v>
      </c>
      <c r="D24" t="s">
        <v>22</v>
      </c>
      <c r="E24" s="12">
        <v>1272</v>
      </c>
      <c r="F24" s="12">
        <v>1287</v>
      </c>
      <c r="G24" s="12">
        <v>1136</v>
      </c>
      <c r="H24" s="12">
        <f>+Drivers!H46*'Income Statement'!H12</f>
        <v>0</v>
      </c>
      <c r="I24" s="12">
        <f>+Drivers!I46*'Income Statement'!I12</f>
        <v>0</v>
      </c>
      <c r="J24" s="12">
        <f>+Drivers!J46*'Income Statement'!J12</f>
        <v>0</v>
      </c>
      <c r="K24" s="12">
        <f>+Drivers!K46*'Income Statement'!K12</f>
        <v>0</v>
      </c>
      <c r="L24" s="12">
        <f>+Drivers!L46*'Income Statement'!L12</f>
        <v>0</v>
      </c>
    </row>
    <row r="25" spans="2:12" x14ac:dyDescent="0.3">
      <c r="C25" t="s">
        <v>91</v>
      </c>
      <c r="D25" t="s">
        <v>22</v>
      </c>
      <c r="E25" s="12">
        <v>577</v>
      </c>
      <c r="F25" s="12">
        <v>250</v>
      </c>
      <c r="G25" s="12">
        <v>257</v>
      </c>
      <c r="H25" s="12">
        <f>+Drivers!H48*'Income Statement'!H12</f>
        <v>0</v>
      </c>
      <c r="I25" s="12">
        <f>+Drivers!I48*'Income Statement'!I12</f>
        <v>0</v>
      </c>
      <c r="J25" s="12">
        <f>+Drivers!J48*'Income Statement'!J12</f>
        <v>0</v>
      </c>
      <c r="K25" s="12">
        <f>+Drivers!K48*'Income Statement'!K12</f>
        <v>0</v>
      </c>
      <c r="L25" s="12">
        <f>+Drivers!L48*'Income Statement'!L12</f>
        <v>0</v>
      </c>
    </row>
    <row r="26" spans="2:12" x14ac:dyDescent="0.3">
      <c r="C26" t="s">
        <v>92</v>
      </c>
      <c r="D26" t="s">
        <v>22</v>
      </c>
      <c r="E26" s="12">
        <v>2483</v>
      </c>
      <c r="F26" s="12">
        <v>2049</v>
      </c>
      <c r="G26" s="12">
        <v>1842</v>
      </c>
      <c r="H26" s="12">
        <f>SUM(H23:H25)</f>
        <v>0</v>
      </c>
      <c r="I26" s="12">
        <f>SUM(I23:I25)</f>
        <v>0</v>
      </c>
      <c r="J26" s="12">
        <f>SUM(J23:J25)</f>
        <v>0</v>
      </c>
      <c r="K26" s="12">
        <f>SUM(K23:K25)</f>
        <v>0</v>
      </c>
      <c r="L26" s="12">
        <f>SUM(L23:L25)</f>
        <v>0</v>
      </c>
    </row>
    <row r="28" spans="2:12" x14ac:dyDescent="0.3">
      <c r="C28" t="s">
        <v>93</v>
      </c>
    </row>
    <row r="29" spans="2:12" x14ac:dyDescent="0.3">
      <c r="C29" t="s">
        <v>94</v>
      </c>
      <c r="D29" t="s">
        <v>22</v>
      </c>
      <c r="E29" s="12">
        <v>6344</v>
      </c>
      <c r="F29" s="12">
        <v>7419</v>
      </c>
      <c r="G29" s="12">
        <v>7422</v>
      </c>
      <c r="H29" s="12">
        <f>+G29+H71</f>
        <v>6793.6386359999997</v>
      </c>
      <c r="I29" s="12">
        <f>+H29+I71</f>
        <v>6068.6725200000001</v>
      </c>
      <c r="J29" s="12">
        <f>+I29+J71</f>
        <v>5285.1022919999996</v>
      </c>
      <c r="K29" s="12">
        <f>+J29+K71</f>
        <v>4457.6606219999994</v>
      </c>
      <c r="L29" s="12">
        <f>+K29+L71</f>
        <v>3745.0001819999993</v>
      </c>
    </row>
    <row r="30" spans="2:12" x14ac:dyDescent="0.3">
      <c r="C30" t="s">
        <v>95</v>
      </c>
      <c r="D30" t="s">
        <v>22</v>
      </c>
      <c r="E30" s="12">
        <v>507</v>
      </c>
      <c r="F30" s="12">
        <v>171</v>
      </c>
      <c r="G30" s="12">
        <v>256</v>
      </c>
      <c r="H30" s="12">
        <f>+G30+H51</f>
        <v>256</v>
      </c>
      <c r="I30" s="12">
        <f>+H30+I51</f>
        <v>256</v>
      </c>
      <c r="J30" s="12">
        <f>+I30+J51</f>
        <v>256</v>
      </c>
      <c r="K30" s="12">
        <f>+J30+K51</f>
        <v>256</v>
      </c>
      <c r="L30" s="12">
        <f>+K30+L51</f>
        <v>256</v>
      </c>
    </row>
    <row r="31" spans="2:12" x14ac:dyDescent="0.3">
      <c r="C31" t="s">
        <v>96</v>
      </c>
      <c r="D31" t="s">
        <v>22</v>
      </c>
      <c r="E31" s="12">
        <v>923</v>
      </c>
      <c r="F31" s="12">
        <v>1002</v>
      </c>
      <c r="G31" s="12">
        <v>981</v>
      </c>
      <c r="H31" s="12">
        <f>+Drivers!H49*'Income Statement'!H12</f>
        <v>0</v>
      </c>
      <c r="I31" s="12">
        <f>+Drivers!I49*'Income Statement'!I12</f>
        <v>0</v>
      </c>
      <c r="J31" s="12">
        <f>+Drivers!J49*'Income Statement'!J12</f>
        <v>0</v>
      </c>
      <c r="K31" s="12">
        <f>+Drivers!K49*'Income Statement'!K12</f>
        <v>0</v>
      </c>
      <c r="L31" s="12">
        <f>+Drivers!L49*'Income Statement'!L12</f>
        <v>0</v>
      </c>
    </row>
    <row r="32" spans="2:12" x14ac:dyDescent="0.3">
      <c r="C32" t="s">
        <v>97</v>
      </c>
      <c r="D32" t="s">
        <v>22</v>
      </c>
      <c r="E32" s="12">
        <v>7774</v>
      </c>
      <c r="F32" s="12">
        <v>8592</v>
      </c>
      <c r="G32" s="12">
        <v>8659</v>
      </c>
      <c r="H32" s="12">
        <f>SUM(H29:H31)</f>
        <v>7049.6386359999997</v>
      </c>
      <c r="I32" s="12">
        <f>SUM(I29:I31)</f>
        <v>6324.6725200000001</v>
      </c>
      <c r="J32" s="12">
        <f>SUM(J29:J31)</f>
        <v>5541.1022919999996</v>
      </c>
      <c r="K32" s="12">
        <f>SUM(K29:K31)</f>
        <v>4713.6606219999994</v>
      </c>
      <c r="L32" s="12">
        <f>SUM(L29:L31)</f>
        <v>4001.0001819999993</v>
      </c>
    </row>
    <row r="34" spans="2:12" x14ac:dyDescent="0.3">
      <c r="C34" t="s">
        <v>98</v>
      </c>
      <c r="D34" t="s">
        <v>22</v>
      </c>
      <c r="E34" s="16">
        <v>10257</v>
      </c>
      <c r="F34" s="16">
        <v>10641</v>
      </c>
      <c r="G34" s="16">
        <v>10501</v>
      </c>
      <c r="H34" s="16">
        <f>+H26+H32</f>
        <v>7049.6386359999997</v>
      </c>
      <c r="I34" s="16">
        <f>+I26+I32</f>
        <v>6324.6725200000001</v>
      </c>
      <c r="J34" s="16">
        <f>+J26+J32</f>
        <v>5541.1022919999996</v>
      </c>
      <c r="K34" s="16">
        <f>+K26+K32</f>
        <v>4713.6606219999994</v>
      </c>
      <c r="L34" s="16">
        <f>+L26+L32</f>
        <v>4001.0001819999993</v>
      </c>
    </row>
    <row r="36" spans="2:12" x14ac:dyDescent="0.3">
      <c r="C36" t="s">
        <v>99</v>
      </c>
      <c r="D36" t="s">
        <v>22</v>
      </c>
      <c r="E36" s="16">
        <v>9709</v>
      </c>
      <c r="F36" s="16">
        <v>6824</v>
      </c>
      <c r="G36" s="16">
        <v>5228</v>
      </c>
      <c r="H36" s="16">
        <f>+G36+H46+H52+H53+H69+H70+H72+H75</f>
        <v>4427</v>
      </c>
      <c r="I36" s="16">
        <f>+H36+I46+I52+I53+I69+I70+I72+I75</f>
        <v>3626</v>
      </c>
      <c r="J36" s="16">
        <f>+I36+J46+J52+J53+J69+J70+J72+J75</f>
        <v>2825</v>
      </c>
      <c r="K36" s="16">
        <f>+J36+K46+K52+K53+K69+K70+K72+K75</f>
        <v>2024</v>
      </c>
      <c r="L36" s="16">
        <f>+K36+L46+L52+L53+L69+L70+L72+L75</f>
        <v>1223</v>
      </c>
    </row>
    <row r="38" spans="2:12" x14ac:dyDescent="0.3">
      <c r="C38" t="s">
        <v>100</v>
      </c>
      <c r="D38" t="s">
        <v>22</v>
      </c>
      <c r="E38" s="16">
        <v>19966</v>
      </c>
      <c r="F38" s="16">
        <v>17465</v>
      </c>
      <c r="G38" s="16">
        <v>15729</v>
      </c>
      <c r="H38" s="16">
        <f>+H34+H36</f>
        <v>11476.638636</v>
      </c>
      <c r="I38" s="16">
        <f>+I34+I36</f>
        <v>9950.6725200000001</v>
      </c>
      <c r="J38" s="16">
        <f>+J34+J36</f>
        <v>8366.1022919999996</v>
      </c>
      <c r="K38" s="16">
        <f>+K34+K36</f>
        <v>6737.6606219999994</v>
      </c>
      <c r="L38" s="16">
        <f>+L34+L36</f>
        <v>5224.0001819999998</v>
      </c>
    </row>
    <row r="40" spans="2:12" x14ac:dyDescent="0.3">
      <c r="C40" t="s">
        <v>101</v>
      </c>
      <c r="E40" s="22">
        <f t="shared" si="1" ref="E40:L40">E19-E38</f>
        <v>0</v>
      </c>
      <c r="F40" s="22">
        <f t="shared" si="1"/>
        <v>0</v>
      </c>
      <c r="G40" s="22">
        <f t="shared" si="1"/>
        <v>0</v>
      </c>
      <c r="H40" s="22">
        <f t="shared" si="1"/>
        <v>0</v>
      </c>
      <c r="I40" s="22">
        <f t="shared" si="1"/>
        <v>0</v>
      </c>
      <c r="J40" s="22">
        <f t="shared" si="1"/>
        <v>0</v>
      </c>
      <c r="K40" s="22">
        <f t="shared" si="1"/>
        <v>0</v>
      </c>
      <c r="L40" s="22">
        <f t="shared" si="1"/>
        <v>0</v>
      </c>
    </row>
    <row r="42" spans="2:12" x14ac:dyDescent="0.3">
      <c r="B42" s="26"/>
      <c r="C42" s="26"/>
      <c r="D42" s="26"/>
      <c r="E42" s="27" t="str">
        <f>Drivers!$E$18</f>
        <v>Actual</v>
      </c>
      <c r="F42" s="27"/>
      <c r="G42" s="27"/>
      <c r="H42" s="27" t="str">
        <f>Drivers!$H$18</f>
        <v>Forecast</v>
      </c>
      <c r="I42" s="27"/>
      <c r="J42" s="27"/>
      <c r="K42" s="27"/>
      <c r="L42" s="27"/>
    </row>
    <row r="43" spans="2:12" x14ac:dyDescent="0.3">
      <c r="B43" s="25" t="s">
        <v>102</v>
      </c>
      <c r="C43" s="25"/>
      <c r="D43" s="26" t="str">
        <f>Drivers!$D$19</f>
        <v>Basis:</v>
      </c>
      <c r="E43" s="28">
        <f>Drivers!$E$19</f>
        <v>41639</v>
      </c>
      <c r="F43" s="28">
        <f>Drivers!$F$19</f>
        <v>42004</v>
      </c>
      <c r="G43" s="28">
        <f>Drivers!$G$19</f>
        <v>42369</v>
      </c>
      <c r="H43" s="28">
        <f>Drivers!$H$19</f>
        <v>42735</v>
      </c>
      <c r="I43" s="28">
        <f>Drivers!$I$19</f>
        <v>43100</v>
      </c>
      <c r="J43" s="28">
        <f>Drivers!$J$19</f>
        <v>43465</v>
      </c>
      <c r="K43" s="28">
        <f>Drivers!$K$19</f>
        <v>43830</v>
      </c>
      <c r="L43" s="28">
        <f>Drivers!$L$19</f>
        <v>44196</v>
      </c>
    </row>
    <row r="44" spans="2:12" x14ac:dyDescent="0.3">
      <c r="B44" s="25" t="s">
        <v>103</v>
      </c>
      <c r="C44" s="25"/>
      <c r="D44" s="26"/>
      <c r="E44" s="26"/>
      <c r="F44" s="26"/>
      <c r="G44" s="26"/>
      <c r="H44" s="26"/>
      <c r="I44" s="26"/>
      <c r="J44" s="26"/>
      <c r="K44" s="26"/>
      <c r="L44" s="26"/>
    </row>
    <row r="46" spans="2:12" x14ac:dyDescent="0.3">
      <c r="C46" t="s">
        <v>71</v>
      </c>
      <c r="D46" t="s">
        <v>22</v>
      </c>
      <c r="E46" s="16">
        <v>1679</v>
      </c>
      <c r="F46" s="16">
        <v>2946</v>
      </c>
      <c r="G46" s="16">
        <v>1899</v>
      </c>
      <c r="H46" s="16">
        <f>+'Income Statement'!H31</f>
        <v>0</v>
      </c>
      <c r="I46" s="16">
        <f>+'Income Statement'!I31</f>
        <v>0</v>
      </c>
      <c r="J46" s="16">
        <f>+'Income Statement'!J31</f>
        <v>0</v>
      </c>
      <c r="K46" s="16">
        <f>+'Income Statement'!K31</f>
        <v>0</v>
      </c>
      <c r="L46" s="16">
        <f>+'Income Statement'!L31</f>
        <v>0</v>
      </c>
    </row>
    <row r="47" spans="2:12" x14ac:dyDescent="0.3">
      <c r="C47" t="s">
        <v>104</v>
      </c>
    </row>
    <row r="48" spans="2:12" x14ac:dyDescent="0.3">
      <c r="C48" t="s">
        <v>105</v>
      </c>
      <c r="D48" t="s">
        <v>22</v>
      </c>
      <c r="E48" s="12">
        <v>299</v>
      </c>
      <c r="F48" s="12">
        <v>262</v>
      </c>
      <c r="G48" s="12">
        <v>244</v>
      </c>
      <c r="H48" s="12">
        <f>+'Income Statement'!H5*Drivers!H53</f>
        <v>0</v>
      </c>
      <c r="I48" s="12">
        <f>+'Income Statement'!I5*Drivers!I53</f>
        <v>0</v>
      </c>
      <c r="J48" s="12">
        <f>+'Income Statement'!J5*Drivers!J53</f>
        <v>0</v>
      </c>
      <c r="K48" s="12">
        <f>+'Income Statement'!K5*Drivers!K53</f>
        <v>0</v>
      </c>
      <c r="L48" s="12">
        <f>+'Income Statement'!L5*Drivers!L53</f>
        <v>0</v>
      </c>
    </row>
    <row r="49" spans="2:12" x14ac:dyDescent="0.3">
      <c r="C49" t="s">
        <v>59</v>
      </c>
      <c r="D49" t="s">
        <v>22</v>
      </c>
      <c r="E49" s="12">
        <v>2</v>
      </c>
      <c r="F49" s="12">
        <v>3</v>
      </c>
      <c r="G49" s="12">
        <v>2</v>
      </c>
      <c r="H49" s="12">
        <f>+'Income Statement'!H14</f>
        <v>0</v>
      </c>
      <c r="I49" s="12">
        <f>+'Income Statement'!I14</f>
        <v>0</v>
      </c>
      <c r="J49" s="12">
        <f>+'Income Statement'!J14</f>
        <v>0</v>
      </c>
      <c r="K49" s="12">
        <f>+'Income Statement'!K14</f>
        <v>0</v>
      </c>
      <c r="L49" s="12">
        <f>+'Income Statement'!L14</f>
        <v>0</v>
      </c>
    </row>
    <row r="50" spans="2:12" x14ac:dyDescent="0.3">
      <c r="C50" t="s">
        <v>58</v>
      </c>
      <c r="D50" t="s">
        <v>22</v>
      </c>
      <c r="E50" s="12">
        <v>312</v>
      </c>
      <c r="F50" s="12">
        <v>242</v>
      </c>
      <c r="G50" s="12">
        <v>231</v>
      </c>
      <c r="H50" s="12">
        <f>+'Income Statement'!H13</f>
        <v>0</v>
      </c>
      <c r="I50" s="12">
        <f>+'Income Statement'!I13</f>
        <v>0</v>
      </c>
      <c r="J50" s="12">
        <f>+'Income Statement'!J13</f>
        <v>0</v>
      </c>
      <c r="K50" s="12">
        <f>+'Income Statement'!K13</f>
        <v>0</v>
      </c>
      <c r="L50" s="12">
        <f>+'Income Statement'!L13</f>
        <v>0</v>
      </c>
    </row>
    <row r="51" spans="2:12" x14ac:dyDescent="0.3">
      <c r="C51" s="11" t="s">
        <v>106</v>
      </c>
      <c r="D51" t="s">
        <v>22</v>
      </c>
      <c r="E51" s="12">
        <v>6</v>
      </c>
      <c r="F51" s="12">
        <v>55</v>
      </c>
      <c r="G51" s="12">
        <v>-11</v>
      </c>
      <c r="H51" s="12">
        <f>-'Income Statement'!H26*Drivers!H57</f>
        <v>0</v>
      </c>
      <c r="I51" s="12">
        <f>-'Income Statement'!I26*Drivers!I57</f>
        <v>0</v>
      </c>
      <c r="J51" s="12">
        <f>-'Income Statement'!J26*Drivers!J57</f>
        <v>0</v>
      </c>
      <c r="K51" s="12">
        <f>-'Income Statement'!K26*Drivers!K57</f>
        <v>0</v>
      </c>
      <c r="L51" s="12">
        <f>-'Income Statement'!L26*Drivers!L57</f>
        <v>0</v>
      </c>
    </row>
    <row r="52" spans="2:12" x14ac:dyDescent="0.3">
      <c r="C52" s="11" t="s">
        <v>107</v>
      </c>
      <c r="D52" t="s">
        <v>22</v>
      </c>
      <c r="E52" s="12">
        <v>37</v>
      </c>
      <c r="F52" s="12">
        <v>39</v>
      </c>
      <c r="G52" s="12">
        <v>41</v>
      </c>
      <c r="H52" s="12">
        <f>+'Income Statement'!H5*Drivers!H55</f>
        <v>0</v>
      </c>
      <c r="I52" s="12">
        <f>+'Income Statement'!I5*Drivers!I55</f>
        <v>0</v>
      </c>
      <c r="J52" s="12">
        <f>+'Income Statement'!J5*Drivers!J55</f>
        <v>0</v>
      </c>
      <c r="K52" s="12">
        <f>+'Income Statement'!K5*Drivers!K55</f>
        <v>0</v>
      </c>
      <c r="L52" s="12">
        <f>+'Income Statement'!L5*Drivers!L55</f>
        <v>0</v>
      </c>
    </row>
    <row r="53" spans="2:12" x14ac:dyDescent="0.3">
      <c r="C53" s="11" t="s">
        <v>108</v>
      </c>
      <c r="D53" t="s">
        <v>22</v>
      </c>
      <c r="E53" s="12">
        <v>76</v>
      </c>
      <c r="F53" s="12">
        <v>-1700</v>
      </c>
      <c r="G53" s="12">
        <v>0</v>
      </c>
      <c r="H53" s="12">
        <f>+Drivers!H62</f>
        <v>0</v>
      </c>
      <c r="I53" s="12">
        <f>+Drivers!I62</f>
        <v>0</v>
      </c>
      <c r="J53" s="12">
        <f>+Drivers!J62</f>
        <v>0</v>
      </c>
      <c r="K53" s="12">
        <f>+Drivers!K62</f>
        <v>0</v>
      </c>
      <c r="L53" s="12">
        <f>+Drivers!L62</f>
        <v>0</v>
      </c>
    </row>
    <row r="54" spans="2:12" x14ac:dyDescent="0.3">
      <c r="C54" t="s">
        <v>109</v>
      </c>
    </row>
    <row r="55" spans="2:12" x14ac:dyDescent="0.3">
      <c r="C55" t="s">
        <v>76</v>
      </c>
      <c r="D55" t="s">
        <v>22</v>
      </c>
      <c r="E55" s="12">
        <v>-83</v>
      </c>
      <c r="F55" s="12">
        <v>-70</v>
      </c>
      <c r="G55" s="12">
        <v>-42</v>
      </c>
      <c r="H55" s="12">
        <f t="shared" si="2" ref="H55:L56">+G7-H7</f>
        <v>2203</v>
      </c>
      <c r="I55" s="12">
        <f t="shared" si="2"/>
        <v>0</v>
      </c>
      <c r="J55" s="12">
        <f t="shared" si="2"/>
        <v>0</v>
      </c>
      <c r="K55" s="12">
        <f t="shared" si="2"/>
        <v>0</v>
      </c>
      <c r="L55" s="12">
        <f t="shared" si="2"/>
        <v>0</v>
      </c>
    </row>
    <row r="56" spans="2:12" x14ac:dyDescent="0.3">
      <c r="C56" t="s">
        <v>77</v>
      </c>
      <c r="D56" t="s">
        <v>22</v>
      </c>
      <c r="E56" s="12">
        <v>24</v>
      </c>
      <c r="F56" s="12">
        <v>-10</v>
      </c>
      <c r="G56" s="12">
        <v>25</v>
      </c>
      <c r="H56" s="12">
        <f t="shared" si="2"/>
        <v>1086</v>
      </c>
      <c r="I56" s="12">
        <f t="shared" si="2"/>
        <v>0</v>
      </c>
      <c r="J56" s="12">
        <f t="shared" si="2"/>
        <v>0</v>
      </c>
      <c r="K56" s="12">
        <f t="shared" si="2"/>
        <v>0</v>
      </c>
      <c r="L56" s="12">
        <f t="shared" si="2"/>
        <v>0</v>
      </c>
    </row>
    <row r="57" spans="2:12" x14ac:dyDescent="0.3">
      <c r="C57" t="s">
        <v>110</v>
      </c>
      <c r="D57" t="s">
        <v>22</v>
      </c>
      <c r="E57" s="12">
        <v>226</v>
      </c>
      <c r="F57" s="12">
        <v>-98</v>
      </c>
      <c r="G57" s="12">
        <v>24</v>
      </c>
      <c r="H57" s="12">
        <f>+G9-H9+G16-H16</f>
        <v>1774</v>
      </c>
      <c r="I57" s="12">
        <f>+H9-I9+H16-I16</f>
        <v>0</v>
      </c>
      <c r="J57" s="12">
        <f>+I9-J9+I16-J16</f>
        <v>0</v>
      </c>
      <c r="K57" s="12">
        <f>+J9-K9+J16-K16</f>
        <v>0</v>
      </c>
      <c r="L57" s="12">
        <f>+K9-L9+K16-L16</f>
        <v>0</v>
      </c>
    </row>
    <row r="58" spans="2:12" x14ac:dyDescent="0.3">
      <c r="C58" t="s">
        <v>89</v>
      </c>
      <c r="D58" t="s">
        <v>22</v>
      </c>
      <c r="E58" s="12">
        <v>8</v>
      </c>
      <c r="F58" s="12">
        <v>-20</v>
      </c>
      <c r="G58" s="12">
        <v>-30</v>
      </c>
      <c r="H58" s="12">
        <f t="shared" si="3" ref="H58:L59">+H23-G23</f>
        <v>-449</v>
      </c>
      <c r="I58" s="12">
        <f t="shared" si="3"/>
        <v>0</v>
      </c>
      <c r="J58" s="12">
        <f t="shared" si="3"/>
        <v>0</v>
      </c>
      <c r="K58" s="12">
        <f t="shared" si="3"/>
        <v>0</v>
      </c>
      <c r="L58" s="12">
        <f t="shared" si="3"/>
        <v>0</v>
      </c>
    </row>
    <row r="59" spans="2:12" x14ac:dyDescent="0.3">
      <c r="C59" t="s">
        <v>90</v>
      </c>
      <c r="D59" t="s">
        <v>22</v>
      </c>
      <c r="E59" s="12">
        <v>161</v>
      </c>
      <c r="F59" s="12">
        <v>5</v>
      </c>
      <c r="G59" s="12">
        <v>-56</v>
      </c>
      <c r="H59" s="12">
        <f t="shared" si="3"/>
        <v>-1136</v>
      </c>
      <c r="I59" s="12">
        <f t="shared" si="3"/>
        <v>0</v>
      </c>
      <c r="J59" s="12">
        <f t="shared" si="3"/>
        <v>0</v>
      </c>
      <c r="K59" s="12">
        <f t="shared" si="3"/>
        <v>0</v>
      </c>
      <c r="L59" s="12">
        <f t="shared" si="3"/>
        <v>0</v>
      </c>
    </row>
    <row r="60" spans="2:12" x14ac:dyDescent="0.3">
      <c r="C60" t="s">
        <v>111</v>
      </c>
      <c r="D60" t="s">
        <v>22</v>
      </c>
      <c r="E60" s="12">
        <v>-219</v>
      </c>
      <c r="F60" s="12">
        <v>-38</v>
      </c>
      <c r="G60" s="12">
        <v>-28</v>
      </c>
      <c r="H60" s="12">
        <f>+H25-G25+H31-G31</f>
        <v>-1238</v>
      </c>
      <c r="I60" s="12">
        <f>+I25-H25+I31-H31</f>
        <v>0</v>
      </c>
      <c r="J60" s="12">
        <f>+J25-I25+J31-I31</f>
        <v>0</v>
      </c>
      <c r="K60" s="12">
        <f>+K25-J25+K31-J31</f>
        <v>0</v>
      </c>
      <c r="L60" s="12">
        <f>+L25-K25+L31-K31</f>
        <v>0</v>
      </c>
    </row>
    <row r="61" spans="2:12" x14ac:dyDescent="0.3">
      <c r="C61" t="s">
        <v>112</v>
      </c>
      <c r="D61" t="s">
        <v>22</v>
      </c>
      <c r="E61" s="12">
        <v>2528</v>
      </c>
      <c r="F61" s="12">
        <v>1616</v>
      </c>
      <c r="G61" s="12">
        <v>2299</v>
      </c>
      <c r="H61" s="12">
        <f>SUM(H46:H60)</f>
        <v>2240</v>
      </c>
      <c r="I61" s="12">
        <f>SUM(I46:I60)</f>
        <v>0</v>
      </c>
      <c r="J61" s="12">
        <f>SUM(J46:J60)</f>
        <v>0</v>
      </c>
      <c r="K61" s="12">
        <f>SUM(K46:K60)</f>
        <v>0</v>
      </c>
      <c r="L61" s="12">
        <f>SUM(L46:L60)</f>
        <v>0</v>
      </c>
    </row>
    <row r="63" spans="2:12" x14ac:dyDescent="0.3">
      <c r="B63" s="25" t="s">
        <v>113</v>
      </c>
      <c r="C63" s="25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3">
      <c r="C64" t="s">
        <v>114</v>
      </c>
      <c r="D64" t="s">
        <v>22</v>
      </c>
      <c r="E64" s="12">
        <v>-368</v>
      </c>
      <c r="F64" s="12">
        <v>-361</v>
      </c>
      <c r="G64" s="12">
        <v>-284</v>
      </c>
      <c r="H64" s="12">
        <f>+Drivers!H52</f>
        <v>-238</v>
      </c>
      <c r="I64" s="12">
        <f>+Drivers!I52</f>
        <v>-306</v>
      </c>
      <c r="J64" s="12">
        <f>+Drivers!J52</f>
        <v>-327</v>
      </c>
      <c r="K64" s="12">
        <f>+Drivers!K52</f>
        <v>-458</v>
      </c>
      <c r="L64" s="12">
        <f>+Drivers!L52</f>
        <v>-533</v>
      </c>
    </row>
    <row r="65" spans="2:12" x14ac:dyDescent="0.3">
      <c r="C65" t="s">
        <v>115</v>
      </c>
      <c r="D65" t="s">
        <v>22</v>
      </c>
      <c r="E65" s="12">
        <v>-88</v>
      </c>
      <c r="F65" s="12">
        <v>3203</v>
      </c>
      <c r="G65" s="12">
        <v>74</v>
      </c>
      <c r="H65" s="12">
        <f>+Drivers!H63</f>
        <v>0</v>
      </c>
      <c r="I65" s="12">
        <f>+Drivers!I63</f>
        <v>0</v>
      </c>
      <c r="J65" s="12">
        <f>+Drivers!J63</f>
        <v>0</v>
      </c>
      <c r="K65" s="12">
        <f>+Drivers!K63</f>
        <v>0</v>
      </c>
      <c r="L65" s="12">
        <f>+Drivers!L63</f>
        <v>0</v>
      </c>
    </row>
    <row r="66" spans="2:12" x14ac:dyDescent="0.3">
      <c r="C66" t="s">
        <v>116</v>
      </c>
      <c r="D66" t="s">
        <v>22</v>
      </c>
      <c r="E66" s="12">
        <v>-456</v>
      </c>
      <c r="F66" s="12">
        <v>2842</v>
      </c>
      <c r="G66" s="12">
        <v>-210</v>
      </c>
      <c r="H66" s="12">
        <f>SUM(H64:H65)</f>
        <v>-238</v>
      </c>
      <c r="I66" s="12">
        <f>SUM(I64:I65)</f>
        <v>-306</v>
      </c>
      <c r="J66" s="12">
        <f>SUM(J64:J65)</f>
        <v>-327</v>
      </c>
      <c r="K66" s="12">
        <f>SUM(K64:K65)</f>
        <v>-458</v>
      </c>
      <c r="L66" s="12">
        <f>SUM(L64:L65)</f>
        <v>-533</v>
      </c>
    </row>
    <row r="68" spans="2:12" x14ac:dyDescent="0.3">
      <c r="B68" s="25" t="s">
        <v>117</v>
      </c>
      <c r="C68" s="25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3">
      <c r="C69" s="11" t="s">
        <v>118</v>
      </c>
      <c r="D69" t="s">
        <v>22</v>
      </c>
      <c r="E69" s="12">
        <v>-528</v>
      </c>
      <c r="F69" s="12">
        <v>-711</v>
      </c>
      <c r="G69" s="12">
        <v>-742</v>
      </c>
      <c r="H69" s="12">
        <f>-Drivers!H58*'Income Statement'!H31</f>
        <v>0</v>
      </c>
      <c r="I69" s="12">
        <f>-Drivers!I58*'Income Statement'!I31</f>
        <v>0</v>
      </c>
      <c r="J69" s="12">
        <f>-Drivers!J58*'Income Statement'!J31</f>
        <v>0</v>
      </c>
      <c r="K69" s="12">
        <f>-Drivers!K58*'Income Statement'!K31</f>
        <v>0</v>
      </c>
      <c r="L69" s="12">
        <f>-Drivers!L58*'Income Statement'!L31</f>
        <v>0</v>
      </c>
    </row>
    <row r="70" spans="2:12" x14ac:dyDescent="0.3">
      <c r="C70" s="11" t="s">
        <v>119</v>
      </c>
      <c r="D70" t="s">
        <v>22</v>
      </c>
      <c r="E70" s="12">
        <v>-1900</v>
      </c>
      <c r="F70" s="12">
        <v>-4198</v>
      </c>
      <c r="G70" s="12">
        <v>-1943</v>
      </c>
      <c r="H70" s="12">
        <f>-Drivers!H60</f>
        <v>-801</v>
      </c>
      <c r="I70" s="12">
        <f>-Drivers!I60</f>
        <v>-801</v>
      </c>
      <c r="J70" s="12">
        <f>-Drivers!J60</f>
        <v>-801</v>
      </c>
      <c r="K70" s="12">
        <f>-Drivers!K60</f>
        <v>-801</v>
      </c>
      <c r="L70" s="12">
        <f>-Drivers!L60</f>
        <v>-801</v>
      </c>
    </row>
    <row r="71" spans="2:12" x14ac:dyDescent="0.3">
      <c r="C71" s="11" t="s">
        <v>120</v>
      </c>
      <c r="D71" t="s">
        <v>22</v>
      </c>
      <c r="E71" s="12">
        <v>1264</v>
      </c>
      <c r="F71" s="12">
        <v>1339</v>
      </c>
      <c r="G71" s="12">
        <v>151</v>
      </c>
      <c r="H71" s="12">
        <f>+Drivers!H31</f>
        <v>-628.36136399999998</v>
      </c>
      <c r="I71" s="12">
        <f>+Drivers!I31</f>
        <v>-724.96611600000006</v>
      </c>
      <c r="J71" s="12">
        <f>+Drivers!J31</f>
        <v>-783.57022800000004</v>
      </c>
      <c r="K71" s="12">
        <f>+Drivers!K31</f>
        <v>-827.44167000000004</v>
      </c>
      <c r="L71" s="12">
        <f>+Drivers!L31</f>
        <v>-712.66043999999999</v>
      </c>
    </row>
    <row r="72" spans="2:12" x14ac:dyDescent="0.3">
      <c r="C72" s="11" t="s">
        <v>121</v>
      </c>
      <c r="D72" t="s">
        <v>22</v>
      </c>
      <c r="E72" s="12">
        <v>24</v>
      </c>
      <c r="F72" s="12">
        <v>19</v>
      </c>
      <c r="G72" s="12">
        <v>8</v>
      </c>
      <c r="H72" s="12">
        <f>+Drivers!H64</f>
        <v>0</v>
      </c>
      <c r="I72" s="12">
        <f>+Drivers!I64</f>
        <v>0</v>
      </c>
      <c r="J72" s="12">
        <f>+Drivers!J64</f>
        <v>0</v>
      </c>
      <c r="K72" s="12">
        <f>+Drivers!K64</f>
        <v>0</v>
      </c>
      <c r="L72" s="12">
        <f>+Drivers!L64</f>
        <v>0</v>
      </c>
    </row>
    <row r="73" spans="2:12" x14ac:dyDescent="0.3">
      <c r="C73" t="s">
        <v>122</v>
      </c>
      <c r="D73" t="s">
        <v>22</v>
      </c>
      <c r="E73" s="12">
        <v>-1140</v>
      </c>
      <c r="F73" s="12">
        <v>-3551</v>
      </c>
      <c r="G73" s="12">
        <v>-2526</v>
      </c>
      <c r="H73" s="12">
        <f>SUM(H69:H72)</f>
        <v>-1429.3613639999999</v>
      </c>
      <c r="I73" s="12">
        <f>SUM(I69:I72)</f>
        <v>-1525.9661160000001</v>
      </c>
      <c r="J73" s="12">
        <f>SUM(J69:J72)</f>
        <v>-1584.570228</v>
      </c>
      <c r="K73" s="12">
        <f>SUM(K69:K72)</f>
        <v>-1628.4416700000002</v>
      </c>
      <c r="L73" s="12">
        <f>SUM(L69:L72)</f>
        <v>-1513.6604400000001</v>
      </c>
    </row>
    <row r="75" spans="2:12" x14ac:dyDescent="0.3">
      <c r="C75" s="11" t="s">
        <v>123</v>
      </c>
      <c r="D75" t="s">
        <v>22</v>
      </c>
      <c r="E75" s="12">
        <v>-93</v>
      </c>
      <c r="F75" s="12">
        <v>-535</v>
      </c>
      <c r="G75" s="12">
        <v>-463</v>
      </c>
      <c r="H75" s="12">
        <f>+Drivers!H66*'Income Statement'!H5</f>
        <v>0</v>
      </c>
      <c r="I75" s="12">
        <f>+Drivers!I66*'Income Statement'!I5</f>
        <v>0</v>
      </c>
      <c r="J75" s="12">
        <f>+Drivers!J66*'Income Statement'!J5</f>
        <v>0</v>
      </c>
      <c r="K75" s="12">
        <f>+Drivers!K66*'Income Statement'!K5</f>
        <v>0</v>
      </c>
      <c r="L75" s="12">
        <f>+Drivers!L66*'Income Statement'!L5</f>
        <v>0</v>
      </c>
    </row>
    <row r="77" spans="2:12" x14ac:dyDescent="0.3">
      <c r="C77" t="s">
        <v>124</v>
      </c>
      <c r="D77" t="s">
        <v>22</v>
      </c>
      <c r="E77" s="12">
        <v>839</v>
      </c>
      <c r="F77" s="12">
        <v>372</v>
      </c>
      <c r="G77" s="12">
        <v>-900</v>
      </c>
      <c r="H77" s="12">
        <f>+H61+H66+H73+H75</f>
        <v>572.63863600000013</v>
      </c>
      <c r="I77" s="12">
        <f>+I61+I66+I73+I75</f>
        <v>-1831.9661160000001</v>
      </c>
      <c r="J77" s="12">
        <f>+J61+J66+J73+J75</f>
        <v>-1911.570228</v>
      </c>
      <c r="K77" s="12">
        <f>+K61+K66+K73+K75</f>
        <v>-2086.4416700000002</v>
      </c>
      <c r="L77" s="12">
        <f>+L61+L66+L73+L75</f>
        <v>-2046.6604400000001</v>
      </c>
    </row>
    <row r="78" spans="2:12" x14ac:dyDescent="0.3">
      <c r="C78" t="s">
        <v>125</v>
      </c>
      <c r="D78" t="s">
        <v>22</v>
      </c>
      <c r="E78" s="12">
        <v>2779</v>
      </c>
      <c r="F78" s="12">
        <v>3618</v>
      </c>
      <c r="G78" s="12">
        <v>3990</v>
      </c>
      <c r="H78" s="12">
        <f>+G79</f>
        <v>3090</v>
      </c>
      <c r="I78" s="12">
        <f>+H79</f>
        <v>3662.6386360000001</v>
      </c>
      <c r="J78" s="12">
        <f>+I79</f>
        <v>1830.6725200000001</v>
      </c>
      <c r="K78" s="12">
        <f>+J79</f>
        <v>-80.897707999999966</v>
      </c>
      <c r="L78" s="12">
        <f>+K79</f>
        <v>-2167.3393780000001</v>
      </c>
    </row>
    <row r="79" spans="2:12" x14ac:dyDescent="0.3">
      <c r="C79" t="s">
        <v>126</v>
      </c>
      <c r="D79" t="s">
        <v>22</v>
      </c>
      <c r="E79" s="16">
        <v>3618</v>
      </c>
      <c r="F79" s="16">
        <v>3990</v>
      </c>
      <c r="G79" s="16">
        <v>3090</v>
      </c>
      <c r="H79" s="16">
        <f>SUM(H77:H78)</f>
        <v>3662.6386360000001</v>
      </c>
      <c r="I79" s="16">
        <f>SUM(I77:I78)</f>
        <v>1830.6725200000001</v>
      </c>
      <c r="J79" s="16">
        <f>SUM(J77:J78)</f>
        <v>-80.897707999999966</v>
      </c>
      <c r="K79" s="16">
        <f>SUM(K77:K78)</f>
        <v>-2167.3393780000001</v>
      </c>
      <c r="L79" s="16">
        <f>SUM(L77:L78)</f>
        <v>-4213.9998180000002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Drivers</vt:lpstr>
      <vt:lpstr>Income Statement</vt:lpstr>
      <vt:lpstr>Statements &amp; Checks</vt:lpstr>
      <vt:lpstr>Cash_Interest_Rate</vt:lpstr>
      <vt:lpstr>Company_Name</vt:lpstr>
      <vt:lpstr>Debt_Interest_Rate</vt:lpstr>
      <vt:lpstr>GM_Improv</vt:lpstr>
      <vt:lpstr>Hist_Yr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2026-07-17T17:08:15Z</dcterms:created>
  <dcterms:modified xsi:type="dcterms:W3CDTF">2026-07-17T21:07:21Z</dcterms:modified>
</cp:coreProperties>
</file>